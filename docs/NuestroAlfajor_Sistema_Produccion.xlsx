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FFD3" lockStructure="1" lockWindows="0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Pedidos" sheetId="3" state="hidden" r:id="rId3"/>
    <sheet xmlns:r="http://schemas.openxmlformats.org/officeDocument/2006/relationships" name="Amasijo-Horneado" sheetId="4" state="visible" r:id="rId4"/>
    <sheet xmlns:r="http://schemas.openxmlformats.org/officeDocument/2006/relationships" name="Produccion-Real" sheetId="5" state="visible" r:id="rId5"/>
    <sheet xmlns:r="http://schemas.openxmlformats.org/officeDocument/2006/relationships" name="Stock" sheetId="6" state="hidden" r:id="rId6"/>
    <sheet xmlns:r="http://schemas.openxmlformats.org/officeDocument/2006/relationships" name="Relleno-Glase" sheetId="7" state="visible" r:id="rId7"/>
    <sheet xmlns:r="http://schemas.openxmlformats.org/officeDocument/2006/relationships" name="Armado-Packaging" sheetId="8" state="visible" r:id="rId8"/>
    <sheet xmlns:r="http://schemas.openxmlformats.org/officeDocument/2006/relationships" name="Orden de Compra" sheetId="9" state="hidden" r:id="rId9"/>
    <sheet xmlns:r="http://schemas.openxmlformats.org/officeDocument/2006/relationships" name="Config" sheetId="10" state="hidden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\$#,##0"/>
    <numFmt numFmtId="166" formatCode="\$#,##0.00"/>
    <numFmt numFmtId="167" formatCode="DD/MM/YYYY"/>
    <numFmt numFmtId="168" formatCode="0.0%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E67E22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1"/>
    </font>
    <font>
      <name val="Arial"/>
      <charset val="1"/>
      <family val="0"/>
      <i val="1"/>
      <color rgb="FF5A6A7A"/>
      <sz val="10"/>
    </font>
    <font>
      <name val="Arial"/>
      <charset val="1"/>
      <family val="0"/>
      <color rgb="FF5A6A7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5A6A7A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i val="1"/>
      <color rgb="FF5A6A7A"/>
      <sz val="9"/>
    </font>
    <font>
      <name val="Arial"/>
      <charset val="1"/>
      <family val="0"/>
      <color rgb="FF8A9AAA"/>
      <sz val="8"/>
    </font>
    <font>
      <name val="Arial"/>
      <b val="1"/>
      <color rgb="00FFFFFF"/>
      <sz val="16"/>
    </font>
    <font>
      <name val="Arial"/>
      <b val="1"/>
      <color rgb="00E67E22"/>
      <sz val="11"/>
    </font>
    <font>
      <name val="Arial"/>
      <sz val="10"/>
    </font>
    <font>
      <name val="Arial"/>
      <b val="1"/>
      <sz val="10"/>
    </font>
    <font>
      <name val="Arial"/>
      <b val="1"/>
      <color rgb="00E67E22"/>
      <sz val="10"/>
    </font>
    <font>
      <name val="Arial"/>
      <i val="1"/>
      <color rgb="00FFFFFF"/>
      <sz val="10"/>
    </font>
    <font>
      <name val="Arial"/>
      <b val="1"/>
      <color rgb="00FFFFFF"/>
      <sz val="8"/>
    </font>
    <font>
      <name val="Arial"/>
      <color rgb="000000FF"/>
      <sz val="10"/>
    </font>
    <font>
      <name val="Arial"/>
      <i val="1"/>
      <color rgb="005A6A7A"/>
      <sz val="8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FCE8D0"/>
        <bgColor rgb="FFFFF2B2"/>
      </patternFill>
    </fill>
    <fill>
      <patternFill patternType="solid">
        <fgColor rgb="FF5A6A7A"/>
        <bgColor rgb="FF808080"/>
      </patternFill>
    </fill>
    <fill>
      <patternFill patternType="solid">
        <fgColor rgb="000A2540"/>
      </patternFill>
    </fill>
    <fill>
      <patternFill patternType="solid">
        <fgColor rgb="005A6A7A"/>
      </patternFill>
    </fill>
  </fills>
  <borders count="7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3" borderId="1" applyAlignment="1" applyProtection="1" pivotButton="0" quotePrefix="0" xfId="0">
      <alignment horizontal="general" vertical="bottom"/>
      <protection locked="0" hidden="0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bottom"/>
    </xf>
    <xf numFmtId="0" fontId="11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bottom"/>
    </xf>
    <xf numFmtId="164" fontId="17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3" fontId="17" fillId="0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right" vertical="bottom"/>
    </xf>
    <xf numFmtId="0" fontId="18" fillId="0" borderId="1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17" fillId="0" borderId="1" applyAlignment="1" applyProtection="1" pivotButton="0" quotePrefix="0" xfId="0">
      <alignment horizontal="center" vertical="bottom"/>
      <protection locked="0" hidden="0"/>
    </xf>
    <xf numFmtId="0" fontId="19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6" fillId="0" borderId="1" applyAlignment="1" pivotButton="0" quotePrefix="0" xfId="0">
      <alignment horizontal="center" vertical="bottom"/>
    </xf>
    <xf numFmtId="165" fontId="19" fillId="0" borderId="1" applyAlignment="1" pivotButton="0" quotePrefix="0" xfId="0">
      <alignment horizontal="center" vertical="bottom"/>
    </xf>
    <xf numFmtId="0" fontId="19" fillId="3" borderId="1" applyAlignment="1" pivotButton="0" quotePrefix="0" xfId="0">
      <alignment horizontal="general" vertical="bottom"/>
    </xf>
    <xf numFmtId="165" fontId="19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3" borderId="1" applyAlignment="1" applyProtection="1" pivotButton="0" quotePrefix="0" xfId="0">
      <alignment horizontal="general" vertical="bottom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bottom"/>
    </xf>
    <xf numFmtId="0" fontId="11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bottom"/>
    </xf>
    <xf numFmtId="164" fontId="17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3" fontId="17" fillId="0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right" vertical="bottom"/>
    </xf>
    <xf numFmtId="0" fontId="18" fillId="0" borderId="1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17" fillId="0" borderId="1" applyAlignment="1" applyProtection="1" pivotButton="0" quotePrefix="0" xfId="0">
      <alignment horizontal="center" vertical="bottom"/>
      <protection locked="0" hidden="0"/>
    </xf>
    <xf numFmtId="0" fontId="19" fillId="0" borderId="1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166" fontId="6" fillId="0" borderId="1" applyAlignment="1" pivotButton="0" quotePrefix="0" xfId="0">
      <alignment horizontal="center" vertical="bottom"/>
    </xf>
    <xf numFmtId="165" fontId="19" fillId="0" borderId="1" applyAlignment="1" pivotButton="0" quotePrefix="0" xfId="0">
      <alignment horizontal="center" vertical="bottom"/>
    </xf>
    <xf numFmtId="0" fontId="19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165" fontId="19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/>
    </xf>
    <xf numFmtId="0" fontId="23" fillId="5" borderId="0" applyAlignment="1" pivotButton="0" quotePrefix="0" xfId="0">
      <alignment horizontal="general" vertical="bottom"/>
    </xf>
    <xf numFmtId="0" fontId="0" fillId="5" borderId="0" pivotButton="0" quotePrefix="0" xfId="0"/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vertical="top" wrapText="1"/>
    </xf>
    <xf numFmtId="0" fontId="24" fillId="0" borderId="0" pivotButton="0" quotePrefix="0" xfId="0"/>
    <xf numFmtId="0" fontId="26" fillId="0" borderId="6" pivotButton="0" quotePrefix="0" xfId="0"/>
    <xf numFmtId="0" fontId="0" fillId="0" borderId="6" pivotButton="0" quotePrefix="0" xfId="0"/>
    <xf numFmtId="0" fontId="25" fillId="0" borderId="6" pivotButton="0" quotePrefix="0" xfId="0"/>
    <xf numFmtId="0" fontId="27" fillId="0" borderId="0" pivotButton="0" quotePrefix="0" xfId="0"/>
    <xf numFmtId="0" fontId="23" fillId="5" borderId="0" pivotButton="0" quotePrefix="0" xfId="0"/>
    <xf numFmtId="0" fontId="28" fillId="5" borderId="0" pivotButton="0" quotePrefix="0" xfId="0"/>
    <xf numFmtId="0" fontId="29" fillId="6" borderId="6" applyAlignment="1" pivotButton="0" quotePrefix="0" xfId="0">
      <alignment horizontal="center" vertical="center" wrapText="1"/>
    </xf>
    <xf numFmtId="167" fontId="30" fillId="0" borderId="6" pivotButton="0" quotePrefix="0" xfId="0"/>
    <xf numFmtId="0" fontId="30" fillId="0" borderId="6" applyAlignment="1" pivotButton="0" quotePrefix="0" xfId="0">
      <alignment horizontal="center"/>
    </xf>
    <xf numFmtId="0" fontId="25" fillId="0" borderId="6" applyAlignment="1" pivotButton="0" quotePrefix="0" xfId="0">
      <alignment horizontal="center"/>
    </xf>
    <xf numFmtId="168" fontId="25" fillId="0" borderId="6" applyAlignment="1" pivotButton="0" quotePrefix="0" xfId="0">
      <alignment horizontal="center"/>
    </xf>
    <xf numFmtId="0" fontId="31" fillId="0" borderId="0" pivotButton="0" quotePrefix="0" xfId="0"/>
    <xf numFmtId="0" fontId="32" fillId="5" borderId="0" pivotButton="0" quotePrefix="0" xfId="0"/>
    <xf numFmtId="0" fontId="33" fillId="6" borderId="6" applyAlignment="1" pivotButton="0" quotePrefix="0" xfId="0">
      <alignment horizontal="center" vertical="center" wrapText="1"/>
    </xf>
    <xf numFmtId="0" fontId="30" fillId="0" borderId="6" pivotButton="0" quotePrefix="0" xfId="0"/>
    <xf numFmtId="0" fontId="26" fillId="0" borderId="6" applyAlignment="1" pivotButton="0" quotePrefix="0" xfId="0">
      <alignment horizontal="center"/>
    </xf>
    <xf numFmtId="167" fontId="31" fillId="0" borderId="6" applyAlignment="1" pivotButton="0" quotePrefix="0" xfId="0">
      <alignment horizontal="center"/>
    </xf>
    <xf numFmtId="0" fontId="26" fillId="0" borderId="0" pivotButton="0" quotePrefix="0" xfId="0"/>
    <xf numFmtId="0" fontId="25" fillId="0" borderId="1" applyAlignment="1" applyProtection="1" pivotButton="0" quotePrefix="0" xfId="0">
      <alignment horizontal="center" vertical="bottom"/>
      <protection locked="0" hidden="0"/>
    </xf>
    <xf numFmtId="0" fontId="25" fillId="0" borderId="1" applyAlignment="1" pivotButton="0" quotePrefix="0" xfId="0">
      <alignment horizontal="center" vertical="bottom"/>
    </xf>
    <xf numFmtId="167" fontId="30" fillId="0" borderId="6" applyProtection="1" pivotButton="0" quotePrefix="0" xfId="0">
      <protection locked="0" hidden="0"/>
    </xf>
    <xf numFmtId="0" fontId="30" fillId="0" borderId="6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FF2B2"/>
        </patternFill>
      </fill>
    </dxf>
    <dxf>
      <fill>
        <patternFill>
          <bgColor rgb="FFD5E8F0"/>
        </patternFill>
      </fill>
    </dxf>
    <dxf>
      <fill>
        <patternFill>
          <bgColor rgb="FFC6E8C6"/>
        </patternFill>
      </fill>
    </dxf>
    <dxf>
      <fill>
        <patternFill patternType="solid">
          <fgColor rgb="00F8C6C6"/>
        </patternFill>
      </fill>
    </dxf>
    <dxf>
      <fill>
        <patternFill patternType="solid">
          <fgColor rgb="00FFF2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8"/>
      <rgbColor rgb="FF808080"/>
      <rgbColor rgb="FF9999FF"/>
      <rgbColor rgb="FF993366"/>
      <rgbColor rgb="FFFCE8D0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A6A7A"/>
      <rgbColor rgb="FF8A9AAA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54" min="1" max="1"/>
    <col width="4" customWidth="1" style="54" min="2" max="2"/>
  </cols>
  <sheetData>
    <row r="1" ht="26" customHeight="1" s="55">
      <c r="A1" s="102" t="inlineStr">
        <is>
          <t>NUESTRO ALFAJOR — SISTEMA DE PRODUCCIÓN</t>
        </is>
      </c>
      <c r="B1" s="103" t="n"/>
    </row>
    <row r="2"/>
    <row r="3" ht="15" customHeight="1" s="55">
      <c r="A3" s="104" t="inlineStr">
        <is>
          <t>1. Cargar un pedido</t>
        </is>
      </c>
    </row>
    <row r="4" ht="50" customHeight="1" s="55">
      <c r="A4" s="105" t="inlineStr">
        <is>
          <t>Hoja Pedidos (oculta). Fecha de entrega, cliente, cantidades → remito para WhatsApp automático.</t>
        </is>
      </c>
    </row>
    <row r="5"/>
    <row r="6" ht="15" customHeight="1" s="55">
      <c r="A6" s="104" t="inlineStr">
        <is>
          <t>2. Planificar un día</t>
        </is>
      </c>
    </row>
    <row r="7" ht="50" customHeight="1" s="55">
      <c r="A7" s="105" t="inlineStr">
        <is>
          <t>Hoja Panel: elegí la fecha de entrega. Amasijo-Horneado, Relleno-Glase y Armado-Packaging se actualizan solos con los pedidos de ese día — cuánto hay que producir y cuánto falta comprar (según el Stock real).</t>
        </is>
      </c>
    </row>
    <row r="8"/>
    <row r="9" ht="15" customHeight="1" s="55">
      <c r="A9" s="104" t="inlineStr">
        <is>
          <t>3. Marcar pedidos entregados</t>
        </is>
      </c>
    </row>
    <row r="10" ht="50" customHeight="1" s="55">
      <c r="A10" s="105" t="inlineStr">
        <is>
          <t>En Pedidos, columna Estado → 'Entregado'. Esto dispara el consumo de packaging del Stock (bandejas, bolsas, cajas, etiquetas).</t>
        </is>
      </c>
    </row>
    <row r="11"/>
    <row r="12" ht="15" customHeight="1" s="55">
      <c r="A12" s="104" t="inlineStr">
        <is>
          <t>4. Cargar Producción Real (al cierre del día)</t>
        </is>
      </c>
    </row>
    <row r="13" ht="50" customHeight="1" s="55">
      <c r="A13" s="105" t="inlineStr">
        <is>
          <t>Hoja Producción Real: cuántos amasijos se hicieron de verdad, cuántas tapas se asignaron a cada línea, y cuánto salió armado realmente por línea (Maicena, Frutal, Santafesino, cada variedad de Pepas). Con esto el sistema calcula: (a) la MERMA real de cada línea, y (b) descuenta del Stock los insumos de masa y relleno que realmente se consumieron — no lo que se había planeado.</t>
        </is>
      </c>
    </row>
    <row r="14"/>
    <row r="15" ht="15" customHeight="1" s="55">
      <c r="A15" s="104" t="inlineStr">
        <is>
          <t>5. Registrar compras recibidas</t>
        </is>
      </c>
    </row>
    <row r="16" ht="50" customHeight="1" s="55">
      <c r="A16" s="105" t="inlineStr">
        <is>
          <t>Hoja Orden de Compra, tabla 'Registro de Recepciones' (fila 42 en adelante): cada vez que llega un pedido de un proveedor, cargá fecha, insumo y cantidad. Se suma solo al Stock.</t>
        </is>
      </c>
    </row>
    <row r="17"/>
    <row r="18" ht="15" customHeight="1" s="55">
      <c r="A18" s="104" t="inlineStr">
        <is>
          <t>6. Stock (hoja oculta)</t>
        </is>
      </c>
    </row>
    <row r="19" ht="50" customHeight="1" s="55">
      <c r="A19" s="105" t="inlineStr">
        <is>
          <t>Es el inventario real: Stock inicial (lo cargás una sola vez, contando lo que hay hoy) + todo lo recibido − todo lo consumido = Stock actual. Las hojas de producción leen este número solas; ya no se carga a mano en cada una.</t>
        </is>
      </c>
    </row>
    <row r="20"/>
    <row r="21">
      <c r="A21" s="106" t="inlineStr">
        <is>
          <t>Aviso de capacidad</t>
        </is>
      </c>
    </row>
    <row r="22" ht="50" customHeight="1" s="55">
      <c r="A22" s="105" t="inlineStr">
        <is>
          <t>En Amasijo-Horneado, si un día pide más de 3 amasijos totales, aparece un aviso en naranja/amarillo sugiriendo adelantar producción o reforzar personal.</t>
        </is>
      </c>
    </row>
    <row r="23"/>
    <row r="24">
      <c r="A24" s="106" t="inlineStr">
        <is>
          <t>Hojas ocultas (Pedidos, Config, Orden de Compra, Stock)</t>
        </is>
      </c>
    </row>
    <row r="25" ht="50" customHeight="1" s="55">
      <c r="A25" s="105" t="inlineStr">
        <is>
          <t>Contraseña para mostrarlas: te la paso aparte. Revisar → Proteger libro → ingresás la contraseña → clic derecho en cualquier pestaña → Mostrar hoja.</t>
        </is>
      </c>
    </row>
    <row r="26"/>
    <row r="27">
      <c r="A27" s="106" t="inlineStr">
        <is>
          <t>Importante — carga inicial</t>
        </is>
      </c>
    </row>
    <row r="28" ht="50" customHeight="1" s="55">
      <c r="A28" s="105" t="inlineStr">
        <is>
          <t>La primera vez: contá el stock físico real de cada insumo y cargalo en Stock, columna 'Stock inicial'. Si no lo hacés, el sistema va a asumir que arrancás de cero y los 'faltantes' van a salir inflados los primeros días.</t>
        </is>
      </c>
    </row>
    <row r="29"/>
    <row r="30">
      <c r="A30" s="106" t="n"/>
    </row>
    <row r="31" ht="46" customHeight="1" s="55">
      <c r="A31" s="105" t="n"/>
    </row>
  </sheetData>
  <mergeCells count="19">
    <mergeCell ref="A24:B24"/>
    <mergeCell ref="A15:B15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1:B21"/>
    <mergeCell ref="A22:B22"/>
    <mergeCell ref="A4:B4"/>
    <mergeCell ref="A19:B19"/>
    <mergeCell ref="A10:B10"/>
    <mergeCell ref="A28:B28"/>
    <mergeCell ref="A13:B13"/>
    <mergeCell ref="A9:B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4" min="1" max="1"/>
    <col width="16" customWidth="1" style="54" min="2" max="6"/>
  </cols>
  <sheetData>
    <row r="1" ht="24" customHeight="1" s="55">
      <c r="A1" s="56" t="inlineStr">
        <is>
          <t>PANEL DE PRODUCCIÓN — NUESTRO ALFAJOR</t>
        </is>
      </c>
    </row>
    <row r="2" ht="18" customHeight="1" s="55">
      <c r="A2" s="59" t="inlineStr">
        <is>
          <t>Elegí la fecha de entrega a planificar. Todas las hojas de producción se actualizan solas.</t>
        </is>
      </c>
    </row>
    <row r="4" ht="27.75" customHeight="1" s="55">
      <c r="A4" s="60" t="inlineStr">
        <is>
          <t>FECHA DE ENTREGA A PRODUCIR:</t>
        </is>
      </c>
      <c r="D4" s="61" t="n"/>
      <c r="E4" s="62" t="n"/>
      <c r="F4" s="63" t="n"/>
    </row>
    <row r="6" ht="15" customHeight="1" s="55">
      <c r="A6" s="60" t="inlineStr">
        <is>
          <t>RESUMEN DE PEDIDOS PARA ESA FECHA (unidades — sin montos)</t>
        </is>
      </c>
    </row>
    <row r="7" ht="23.85" customHeight="1" s="55">
      <c r="A7" s="64" t="inlineStr">
        <is>
          <t>Línea</t>
        </is>
      </c>
      <c r="B7" s="64" t="inlineStr">
        <is>
          <t>Paquetes/Bandejas pedidos</t>
        </is>
      </c>
      <c r="C7" s="64" t="inlineStr">
        <is>
          <t>Alfajores/Pepas equivalentes</t>
        </is>
      </c>
    </row>
    <row r="8" ht="15" customHeight="1" s="55">
      <c r="A8" s="65" t="inlineStr">
        <is>
          <t>Maicena x7</t>
        </is>
      </c>
      <c r="B8" s="66">
        <f>SUMIFS(Pedidos!$F$5:$F$204,Pedidos!$C$5:$C$204,$D$4)</f>
        <v/>
      </c>
      <c r="C8" s="66">
        <f>B8*7</f>
        <v/>
      </c>
    </row>
    <row r="9" ht="15" customHeight="1" s="55">
      <c r="A9" s="65" t="inlineStr">
        <is>
          <t>Frutal x7</t>
        </is>
      </c>
      <c r="B9" s="66">
        <f>SUMIFS(Pedidos!$G$5:$G$204,Pedidos!$C$5:$C$204,$D$4)</f>
        <v/>
      </c>
      <c r="C9" s="66">
        <f>B9*7</f>
        <v/>
      </c>
    </row>
    <row r="10" ht="15" customHeight="1" s="55">
      <c r="A10" s="65" t="inlineStr">
        <is>
          <t>Santafesino x7</t>
        </is>
      </c>
      <c r="B10" s="66">
        <f>SUMIFS(Pedidos!$H$5:$H$204,Pedidos!$C$5:$C$204,$D$4)</f>
        <v/>
      </c>
      <c r="C10" s="66">
        <f>B10*7</f>
        <v/>
      </c>
    </row>
    <row r="11" ht="15" customHeight="1" s="55">
      <c r="A11" s="65" t="inlineStr">
        <is>
          <t>Maicena x14</t>
        </is>
      </c>
      <c r="B11" s="66">
        <f>SUMIFS(Pedidos!$I$5:$I$204,Pedidos!$C$5:$C$204,$D$4)</f>
        <v/>
      </c>
      <c r="C11" s="66">
        <f>B11*14</f>
        <v/>
      </c>
    </row>
    <row r="12" ht="15" customHeight="1" s="55">
      <c r="A12" s="65" t="inlineStr">
        <is>
          <t>Pepas DDL</t>
        </is>
      </c>
      <c r="B12" s="66">
        <f>SUMIFS(Pedidos!$J$5:$J$204,Pedidos!$C$5:$C$204,$D$4)</f>
        <v/>
      </c>
      <c r="C12" s="66">
        <f>B12*1</f>
        <v/>
      </c>
    </row>
    <row r="13" ht="15" customHeight="1" s="55">
      <c r="A13" s="65" t="inlineStr">
        <is>
          <t>Pepas Membrillo</t>
        </is>
      </c>
      <c r="B13" s="66">
        <f>SUMIFS(Pedidos!$K$5:$K$204,Pedidos!$C$5:$C$204,$D$4)</f>
        <v/>
      </c>
      <c r="C13" s="66">
        <f>B13*1</f>
        <v/>
      </c>
    </row>
    <row r="14" ht="15" customHeight="1" s="55">
      <c r="A14" s="65" t="inlineStr">
        <is>
          <t>Pepas Arándano</t>
        </is>
      </c>
      <c r="B14" s="66">
        <f>SUMIFS(Pedidos!$L$5:$L$204,Pedidos!$C$5:$C$204,$D$4)</f>
        <v/>
      </c>
      <c r="C14" s="66">
        <f>B14*1</f>
        <v/>
      </c>
    </row>
    <row r="15" ht="15" customHeight="1" s="55">
      <c r="A15" s="65" t="inlineStr">
        <is>
          <t>Pepas Batata</t>
        </is>
      </c>
      <c r="B15" s="66">
        <f>SUMIFS(Pedidos!$M$5:$M$204,Pedidos!$C$5:$C$204,$D$4)</f>
        <v/>
      </c>
      <c r="C15" s="66">
        <f>B15*1</f>
        <v/>
      </c>
    </row>
    <row r="16" ht="15" customHeight="1" s="55">
      <c r="A16" s="65" t="inlineStr">
        <is>
          <t>Pepas Frutos Bosque</t>
        </is>
      </c>
      <c r="B16" s="66">
        <f>SUMIFS(Pedidos!$N$5:$N$204,Pedidos!$C$5:$C$204,$D$4)</f>
        <v/>
      </c>
      <c r="C16" s="66">
        <f>B16*1</f>
        <v/>
      </c>
    </row>
    <row r="17" ht="15" customHeight="1" s="55">
      <c r="A17" s="67" t="inlineStr">
        <is>
          <t>TOTAL</t>
        </is>
      </c>
      <c r="B17" s="67">
        <f>SUM(B8:B16)</f>
        <v/>
      </c>
      <c r="C17" s="67">
        <f>SUM(C8:C16)</f>
        <v/>
      </c>
    </row>
    <row r="19" ht="15" customHeight="1" s="55">
      <c r="A19" s="68" t="inlineStr">
        <is>
          <t>Hojas de producción →</t>
        </is>
      </c>
    </row>
    <row r="20" ht="15" customHeight="1" s="55">
      <c r="A20" s="69" t="inlineStr">
        <is>
          <t>· Amasijo-Horneado: cuántos amasijos hacer, insumos de masa, gas.</t>
        </is>
      </c>
    </row>
    <row r="21" ht="15" customHeight="1" s="55">
      <c r="A21" s="69" t="inlineStr">
        <is>
          <t>· Relleno-Glase: DDL, membrillo, glasé y rellenos de pepas necesarios.</t>
        </is>
      </c>
    </row>
    <row r="22" ht="15" customHeight="1" s="55">
      <c r="A22" s="69" t="inlineStr">
        <is>
          <t>· Armado-Packaging: bandejas, bolsas, cajas y etiquetas necesarias.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FD3"/>
  <mergeCells count="8">
    <mergeCell ref="A2:F2"/>
    <mergeCell ref="A1:F1"/>
    <mergeCell ref="D4:F4"/>
    <mergeCell ref="A6:F6"/>
    <mergeCell ref="A22:F22"/>
    <mergeCell ref="A20:F20"/>
    <mergeCell ref="A4:C4"/>
    <mergeCell ref="A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54" min="1" max="1"/>
    <col width="13" customWidth="1" style="54" min="2" max="3"/>
    <col width="24" customWidth="1" style="54" min="4" max="4"/>
    <col width="14" customWidth="1" style="54" min="5" max="5"/>
    <col width="10" customWidth="1" style="54" min="6" max="6"/>
    <col width="9" customWidth="1" style="54" min="7" max="7"/>
    <col width="12" customWidth="1" style="54" min="8" max="8"/>
    <col width="10" customWidth="1" style="54" min="9" max="9"/>
    <col width="9" customWidth="1" style="54" min="10" max="10"/>
    <col width="11" customWidth="1" style="54" min="11" max="11"/>
    <col width="10" customWidth="1" style="54" min="12" max="12"/>
    <col width="9" customWidth="1" style="54" min="13" max="13"/>
    <col width="13" customWidth="1" style="54" min="14" max="14"/>
    <col width="10" customWidth="1" style="54" min="15" max="15"/>
    <col width="12" customWidth="1" style="54" min="16" max="16"/>
    <col width="14" customWidth="1" style="54" min="17" max="17"/>
    <col width="55" customWidth="1" style="54" min="18" max="18"/>
    <col hidden="1" width="13" customWidth="1" style="54" min="20" max="22"/>
  </cols>
  <sheetData>
    <row r="1" ht="24" customHeight="1" s="55">
      <c r="A1" s="56" t="inlineStr">
        <is>
          <t>NUESTRO ALFAJOR — SISTEMA DE PEDIDOS Y REMITOS</t>
        </is>
      </c>
    </row>
    <row r="2" ht="18" customHeight="1" s="55">
      <c r="A2" s="59" t="inlineStr">
        <is>
          <t>Cargá la venta 3 días antes de la entrega. El remito para WhatsApp se genera solo →</t>
        </is>
      </c>
    </row>
    <row r="4" ht="31.5" customHeight="1" s="55">
      <c r="A4" s="70" t="inlineStr">
        <is>
          <t>ID</t>
        </is>
      </c>
      <c r="B4" s="70" t="inlineStr">
        <is>
          <t>Fecha Pedido</t>
        </is>
      </c>
      <c r="C4" s="70" t="inlineStr">
        <is>
          <t>Fecha Entrega</t>
        </is>
      </c>
      <c r="D4" s="70" t="inlineStr">
        <is>
          <t>Cliente</t>
        </is>
      </c>
      <c r="E4" s="70" t="inlineStr">
        <is>
          <t>Ciudad</t>
        </is>
      </c>
      <c r="F4" s="70" t="inlineStr">
        <is>
          <t>Maicena x7</t>
        </is>
      </c>
      <c r="G4" s="70" t="inlineStr">
        <is>
          <t>Frutal x7</t>
        </is>
      </c>
      <c r="H4" s="70" t="inlineStr">
        <is>
          <t>Santafesino x7</t>
        </is>
      </c>
      <c r="I4" s="70" t="inlineStr">
        <is>
          <t>Maicena x14</t>
        </is>
      </c>
      <c r="J4" s="70" t="inlineStr">
        <is>
          <t>Pepas DDL</t>
        </is>
      </c>
      <c r="K4" s="70" t="inlineStr">
        <is>
          <t>Pepas Membrillo</t>
        </is>
      </c>
      <c r="L4" s="70" t="inlineStr">
        <is>
          <t>Pepas Arándano</t>
        </is>
      </c>
      <c r="M4" s="70" t="inlineStr">
        <is>
          <t>Pepas Batata</t>
        </is>
      </c>
      <c r="N4" s="70" t="inlineStr">
        <is>
          <t>Pepas Frutos Bosque</t>
        </is>
      </c>
      <c r="O4" s="70" t="inlineStr">
        <is>
          <t>Total Paquetes/Band.</t>
        </is>
      </c>
      <c r="P4" s="70" t="inlineStr">
        <is>
          <t>Total $</t>
        </is>
      </c>
      <c r="Q4" s="70" t="inlineStr">
        <is>
          <t>Estado</t>
        </is>
      </c>
      <c r="R4" s="70" t="inlineStr">
        <is>
          <t>Remito WhatsApp (copiar y pegar)</t>
        </is>
      </c>
      <c r="T4" s="71" t="inlineStr">
        <is>
          <t>PrecioX7</t>
        </is>
      </c>
      <c r="U4" s="71" t="inlineStr">
        <is>
          <t>PrecioX14</t>
        </is>
      </c>
      <c r="V4" s="71" t="inlineStr">
        <is>
          <t>PrecioPepas</t>
        </is>
      </c>
    </row>
    <row r="5" ht="60" customHeight="1" s="55">
      <c r="A5" s="72">
        <f>IF(D5="","",ROW()-4)</f>
        <v/>
      </c>
      <c r="B5" s="73" t="n"/>
      <c r="C5" s="73" t="n"/>
      <c r="D5" s="74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2">
        <f>IF(D5="","",SUM(F5:N5))</f>
        <v/>
      </c>
      <c r="P5" s="76">
        <f>IF(D5="","",(F5+G5+H5)*T5+I5*U5+(J5+K5+L5+M5+N5)*V5)</f>
        <v/>
      </c>
      <c r="Q5" s="74" t="n"/>
      <c r="R5" s="77">
        <f>IF(OR(D5="",O5=0),"","🥮 *NUESTRO ALFAJOR*"&amp;CHAR(10)&amp;"Remito N° "&amp;A5&amp;CHAR(10)&amp;"Fecha entrega: "&amp;TEXT(C5,"DD/MM/YYYY")&amp;CHAR(10)&amp;"Cliente: "&amp;D5&amp;IF(E5&lt;&gt;"",", "&amp;E5,"")&amp;CHAR(10)&amp;"................................."&amp;CHAR(10)&amp;IF(F5&gt;0,"Alfajor Maicena x7: "&amp;F5&amp;" pack. x $"&amp;TEXT($T5,"#,##0")&amp;" = $"&amp;TEXT(F5*$T5,"#,##0")&amp;CHAR(10),"")&amp;IF(G5&gt;0,"Alfajor Frutal x7: "&amp;G5&amp;" pack. x $"&amp;TEXT($T5,"#,##0")&amp;" = $"&amp;TEXT(G5*$T5,"#,##0")&amp;CHAR(10),"")&amp;IF(H5&gt;0,"Alfajor Santafesino x7: "&amp;H5&amp;" pack. x $"&amp;TEXT($T5,"#,##0")&amp;" = $"&amp;TEXT(H5*$T5,"#,##0")&amp;CHAR(10),"")&amp;IF(I5&gt;0,"Alfajor Maicena x14: "&amp;I5&amp;" pack. x $"&amp;TEXT($U5,"#,##0")&amp;" = $"&amp;TEXT(I5*$U5,"#,##0")&amp;CHAR(10),"")&amp;IF(J5&gt;0,"Pepas DDL: "&amp;J5&amp;" band. x $"&amp;TEXT($V5,"#,##0")&amp;" = $"&amp;TEXT(J5*$V5,"#,##0")&amp;CHAR(10),"")&amp;IF(K5&gt;0,"Pepas Membrillo: "&amp;K5&amp;" band. x $"&amp;TEXT($V5,"#,##0")&amp;" = $"&amp;TEXT(K5*$V5,"#,##0")&amp;CHAR(10),"")&amp;IF(L5&gt;0,"Pepas Arándano: "&amp;L5&amp;" band. x $"&amp;TEXT($V5,"#,##0")&amp;" = $"&amp;TEXT(L5*$V5,"#,##0")&amp;CHAR(10),"")&amp;IF(M5&gt;0,"Pepas Batata: "&amp;M5&amp;" band. x $"&amp;TEXT($V5,"#,##0")&amp;" = $"&amp;TEXT(M5*$V5,"#,##0")&amp;CHAR(10),"")&amp;IF(N5&gt;0,"Pepas Frutos del Bosque: "&amp;N5&amp;" band. x $"&amp;TEXT($V5,"#,##0")&amp;" = $"&amp;TEXT(N5*$V5,"#,##0")&amp;CHAR(10),"")&amp;"................................."&amp;CHAR(10)&amp;"*TOTAL: $"&amp;TEXT(P5,"#,##0")&amp;"*"&amp;CHAR(10)&amp;CHAR(10)&amp;"¡Gracias por tu pedido! 🙏")</f>
        <v/>
      </c>
      <c r="T5" s="78">
        <f>IF(C5="",Config!$B$5,IF(C5&gt;=Config!$B$2,Config!$C$5,Config!$B$5))</f>
        <v/>
      </c>
      <c r="U5" s="78">
        <f>IF(C5="",Config!$B$8,IF(C5&gt;=Config!$B$2,Config!$C$8,Config!$B$8))</f>
        <v/>
      </c>
      <c r="V5" s="78">
        <f>IF(C5="",Config!$B$9,IF(C5&gt;=Config!$B$2,Config!$C$9,Config!$B$9))</f>
        <v/>
      </c>
    </row>
    <row r="6" ht="60" customHeight="1" s="55">
      <c r="A6" s="72">
        <f>IF(D6="","",ROW()-4)</f>
        <v/>
      </c>
      <c r="B6" s="73" t="n"/>
      <c r="C6" s="73" t="n"/>
      <c r="D6" s="74" t="n"/>
      <c r="E6" s="74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2">
        <f>IF(D6="","",SUM(F6:N6))</f>
        <v/>
      </c>
      <c r="P6" s="76">
        <f>IF(D6="","",(F6+G6+H6)*T6+I6*U6+(J6+K6+L6+M6+N6)*V6)</f>
        <v/>
      </c>
      <c r="Q6" s="74" t="n"/>
      <c r="R6" s="77">
        <f>IF(OR(D6="",O6=0),"","🥮 *NUESTRO ALFAJOR*"&amp;CHAR(10)&amp;"Remito N° "&amp;A6&amp;CHAR(10)&amp;"Fecha entrega: "&amp;TEXT(C6,"DD/MM/YYYY")&amp;CHAR(10)&amp;"Cliente: "&amp;D6&amp;IF(E6&lt;&gt;"",", "&amp;E6,"")&amp;CHAR(10)&amp;"................................."&amp;CHAR(10)&amp;IF(F6&gt;0,"Alfajor Maicena x7: "&amp;F6&amp;" pack. x $"&amp;TEXT($T6,"#,##0")&amp;" = $"&amp;TEXT(F6*$T6,"#,##0")&amp;CHAR(10),"")&amp;IF(G6&gt;0,"Alfajor Frutal x7: "&amp;G6&amp;" pack. x $"&amp;TEXT($T6,"#,##0")&amp;" = $"&amp;TEXT(G6*$T6,"#,##0")&amp;CHAR(10),"")&amp;IF(H6&gt;0,"Alfajor Santafesino x7: "&amp;H6&amp;" pack. x $"&amp;TEXT($T6,"#,##0")&amp;" = $"&amp;TEXT(H6*$T6,"#,##0")&amp;CHAR(10),"")&amp;IF(I6&gt;0,"Alfajor Maicena x14: "&amp;I6&amp;" pack. x $"&amp;TEXT($U6,"#,##0")&amp;" = $"&amp;TEXT(I6*$U6,"#,##0")&amp;CHAR(10),"")&amp;IF(J6&gt;0,"Pepas DDL: "&amp;J6&amp;" band. x $"&amp;TEXT($V6,"#,##0")&amp;" = $"&amp;TEXT(J6*$V6,"#,##0")&amp;CHAR(10),"")&amp;IF(K6&gt;0,"Pepas Membrillo: "&amp;K6&amp;" band. x $"&amp;TEXT($V6,"#,##0")&amp;" = $"&amp;TEXT(K6*$V6,"#,##0")&amp;CHAR(10),"")&amp;IF(L6&gt;0,"Pepas Arándano: "&amp;L6&amp;" band. x $"&amp;TEXT($V6,"#,##0")&amp;" = $"&amp;TEXT(L6*$V6,"#,##0")&amp;CHAR(10),"")&amp;IF(M6&gt;0,"Pepas Batata: "&amp;M6&amp;" band. x $"&amp;TEXT($V6,"#,##0")&amp;" = $"&amp;TEXT(M6*$V6,"#,##0")&amp;CHAR(10),"")&amp;IF(N6&gt;0,"Pepas Frutos del Bosque: "&amp;N6&amp;" band. x $"&amp;TEXT($V6,"#,##0")&amp;" = $"&amp;TEXT(N6*$V6,"#,##0")&amp;CHAR(10),"")&amp;"................................."&amp;CHAR(10)&amp;"*TOTAL: $"&amp;TEXT(P6,"#,##0")&amp;"*"&amp;CHAR(10)&amp;CHAR(10)&amp;"¡Gracias por tu pedido! 🙏")</f>
        <v/>
      </c>
      <c r="T6" s="78">
        <f>IF(C6="",Config!$B$5,IF(C6&gt;=Config!$B$2,Config!$C$5,Config!$B$5))</f>
        <v/>
      </c>
      <c r="U6" s="78">
        <f>IF(C6="",Config!$B$8,IF(C6&gt;=Config!$B$2,Config!$C$8,Config!$B$8))</f>
        <v/>
      </c>
      <c r="V6" s="78">
        <f>IF(C6="",Config!$B$9,IF(C6&gt;=Config!$B$2,Config!$C$9,Config!$B$9))</f>
        <v/>
      </c>
    </row>
    <row r="7" ht="60" customHeight="1" s="55">
      <c r="A7" s="72">
        <f>IF(D7="","",ROW()-4)</f>
        <v/>
      </c>
      <c r="B7" s="73" t="n"/>
      <c r="C7" s="73" t="n"/>
      <c r="D7" s="74" t="n"/>
      <c r="E7" s="74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2">
        <f>IF(D7="","",SUM(F7:N7))</f>
        <v/>
      </c>
      <c r="P7" s="76">
        <f>IF(D7="","",(F7+G7+H7)*T7+I7*U7+(J7+K7+L7+M7+N7)*V7)</f>
        <v/>
      </c>
      <c r="Q7" s="74" t="n"/>
      <c r="R7" s="77">
        <f>IF(OR(D7="",O7=0),"","🥮 *NUESTRO ALFAJOR*"&amp;CHAR(10)&amp;"Remito N° "&amp;A7&amp;CHAR(10)&amp;"Fecha entrega: "&amp;TEXT(C7,"DD/MM/YYYY")&amp;CHAR(10)&amp;"Cliente: "&amp;D7&amp;IF(E7&lt;&gt;"",", "&amp;E7,"")&amp;CHAR(10)&amp;"................................."&amp;CHAR(10)&amp;IF(F7&gt;0,"Alfajor Maicena x7: "&amp;F7&amp;" pack. x $"&amp;TEXT($T7,"#,##0")&amp;" = $"&amp;TEXT(F7*$T7,"#,##0")&amp;CHAR(10),"")&amp;IF(G7&gt;0,"Alfajor Frutal x7: "&amp;G7&amp;" pack. x $"&amp;TEXT($T7,"#,##0")&amp;" = $"&amp;TEXT(G7*$T7,"#,##0")&amp;CHAR(10),"")&amp;IF(H7&gt;0,"Alfajor Santafesino x7: "&amp;H7&amp;" pack. x $"&amp;TEXT($T7,"#,##0")&amp;" = $"&amp;TEXT(H7*$T7,"#,##0")&amp;CHAR(10),"")&amp;IF(I7&gt;0,"Alfajor Maicena x14: "&amp;I7&amp;" pack. x $"&amp;TEXT($U7,"#,##0")&amp;" = $"&amp;TEXT(I7*$U7,"#,##0")&amp;CHAR(10),"")&amp;IF(J7&gt;0,"Pepas DDL: "&amp;J7&amp;" band. x $"&amp;TEXT($V7,"#,##0")&amp;" = $"&amp;TEXT(J7*$V7,"#,##0")&amp;CHAR(10),"")&amp;IF(K7&gt;0,"Pepas Membrillo: "&amp;K7&amp;" band. x $"&amp;TEXT($V7,"#,##0")&amp;" = $"&amp;TEXT(K7*$V7,"#,##0")&amp;CHAR(10),"")&amp;IF(L7&gt;0,"Pepas Arándano: "&amp;L7&amp;" band. x $"&amp;TEXT($V7,"#,##0")&amp;" = $"&amp;TEXT(L7*$V7,"#,##0")&amp;CHAR(10),"")&amp;IF(M7&gt;0,"Pepas Batata: "&amp;M7&amp;" band. x $"&amp;TEXT($V7,"#,##0")&amp;" = $"&amp;TEXT(M7*$V7,"#,##0")&amp;CHAR(10),"")&amp;IF(N7&gt;0,"Pepas Frutos del Bosque: "&amp;N7&amp;" band. x $"&amp;TEXT($V7,"#,##0")&amp;" = $"&amp;TEXT(N7*$V7,"#,##0")&amp;CHAR(10),"")&amp;"................................."&amp;CHAR(10)&amp;"*TOTAL: $"&amp;TEXT(P7,"#,##0")&amp;"*"&amp;CHAR(10)&amp;CHAR(10)&amp;"¡Gracias por tu pedido! 🙏")</f>
        <v/>
      </c>
      <c r="T7" s="78">
        <f>IF(C7="",Config!$B$5,IF(C7&gt;=Config!$B$2,Config!$C$5,Config!$B$5))</f>
        <v/>
      </c>
      <c r="U7" s="78">
        <f>IF(C7="",Config!$B$8,IF(C7&gt;=Config!$B$2,Config!$C$8,Config!$B$8))</f>
        <v/>
      </c>
      <c r="V7" s="78">
        <f>IF(C7="",Config!$B$9,IF(C7&gt;=Config!$B$2,Config!$C$9,Config!$B$9))</f>
        <v/>
      </c>
    </row>
    <row r="8" ht="60" customHeight="1" s="55">
      <c r="A8" s="72">
        <f>IF(D8="","",ROW()-4)</f>
        <v/>
      </c>
      <c r="B8" s="73" t="n"/>
      <c r="C8" s="73" t="n"/>
      <c r="D8" s="74" t="n"/>
      <c r="E8" s="74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2">
        <f>IF(D8="","",SUM(F8:N8))</f>
        <v/>
      </c>
      <c r="P8" s="76">
        <f>IF(D8="","",(F8+G8+H8)*T8+I8*U8+(J8+K8+L8+M8+N8)*V8)</f>
        <v/>
      </c>
      <c r="Q8" s="74" t="n"/>
      <c r="R8" s="77">
        <f>IF(OR(D8="",O8=0),"","🥮 *NUESTRO ALFAJOR*"&amp;CHAR(10)&amp;"Remito N° "&amp;A8&amp;CHAR(10)&amp;"Fecha entrega: "&amp;TEXT(C8,"DD/MM/YYYY")&amp;CHAR(10)&amp;"Cliente: "&amp;D8&amp;IF(E8&lt;&gt;"",", "&amp;E8,"")&amp;CHAR(10)&amp;"................................."&amp;CHAR(10)&amp;IF(F8&gt;0,"Alfajor Maicena x7: "&amp;F8&amp;" pack. x $"&amp;TEXT($T8,"#,##0")&amp;" = $"&amp;TEXT(F8*$T8,"#,##0")&amp;CHAR(10),"")&amp;IF(G8&gt;0,"Alfajor Frutal x7: "&amp;G8&amp;" pack. x $"&amp;TEXT($T8,"#,##0")&amp;" = $"&amp;TEXT(G8*$T8,"#,##0")&amp;CHAR(10),"")&amp;IF(H8&gt;0,"Alfajor Santafesino x7: "&amp;H8&amp;" pack. x $"&amp;TEXT($T8,"#,##0")&amp;" = $"&amp;TEXT(H8*$T8,"#,##0")&amp;CHAR(10),"")&amp;IF(I8&gt;0,"Alfajor Maicena x14: "&amp;I8&amp;" pack. x $"&amp;TEXT($U8,"#,##0")&amp;" = $"&amp;TEXT(I8*$U8,"#,##0")&amp;CHAR(10),"")&amp;IF(J8&gt;0,"Pepas DDL: "&amp;J8&amp;" band. x $"&amp;TEXT($V8,"#,##0")&amp;" = $"&amp;TEXT(J8*$V8,"#,##0")&amp;CHAR(10),"")&amp;IF(K8&gt;0,"Pepas Membrillo: "&amp;K8&amp;" band. x $"&amp;TEXT($V8,"#,##0")&amp;" = $"&amp;TEXT(K8*$V8,"#,##0")&amp;CHAR(10),"")&amp;IF(L8&gt;0,"Pepas Arándano: "&amp;L8&amp;" band. x $"&amp;TEXT($V8,"#,##0")&amp;" = $"&amp;TEXT(L8*$V8,"#,##0")&amp;CHAR(10),"")&amp;IF(M8&gt;0,"Pepas Batata: "&amp;M8&amp;" band. x $"&amp;TEXT($V8,"#,##0")&amp;" = $"&amp;TEXT(M8*$V8,"#,##0")&amp;CHAR(10),"")&amp;IF(N8&gt;0,"Pepas Frutos del Bosque: "&amp;N8&amp;" band. x $"&amp;TEXT($V8,"#,##0")&amp;" = $"&amp;TEXT(N8*$V8,"#,##0")&amp;CHAR(10),"")&amp;"................................."&amp;CHAR(10)&amp;"*TOTAL: $"&amp;TEXT(P8,"#,##0")&amp;"*"&amp;CHAR(10)&amp;CHAR(10)&amp;"¡Gracias por tu pedido! 🙏")</f>
        <v/>
      </c>
      <c r="T8" s="78">
        <f>IF(C8="",Config!$B$5,IF(C8&gt;=Config!$B$2,Config!$C$5,Config!$B$5))</f>
        <v/>
      </c>
      <c r="U8" s="78">
        <f>IF(C8="",Config!$B$8,IF(C8&gt;=Config!$B$2,Config!$C$8,Config!$B$8))</f>
        <v/>
      </c>
      <c r="V8" s="78">
        <f>IF(C8="",Config!$B$9,IF(C8&gt;=Config!$B$2,Config!$C$9,Config!$B$9))</f>
        <v/>
      </c>
    </row>
    <row r="9" ht="60" customHeight="1" s="55">
      <c r="A9" s="72">
        <f>IF(D9="","",ROW()-4)</f>
        <v/>
      </c>
      <c r="B9" s="73" t="n"/>
      <c r="C9" s="73" t="n"/>
      <c r="D9" s="74" t="n"/>
      <c r="E9" s="74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2">
        <f>IF(D9="","",SUM(F9:N9))</f>
        <v/>
      </c>
      <c r="P9" s="76">
        <f>IF(D9="","",(F9+G9+H9)*T9+I9*U9+(J9+K9+L9+M9+N9)*V9)</f>
        <v/>
      </c>
      <c r="Q9" s="74" t="n"/>
      <c r="R9" s="77">
        <f>IF(OR(D9="",O9=0),"","🥮 *NUESTRO ALFAJOR*"&amp;CHAR(10)&amp;"Remito N° "&amp;A9&amp;CHAR(10)&amp;"Fecha entrega: "&amp;TEXT(C9,"DD/MM/YYYY")&amp;CHAR(10)&amp;"Cliente: "&amp;D9&amp;IF(E9&lt;&gt;"",", "&amp;E9,"")&amp;CHAR(10)&amp;"................................."&amp;CHAR(10)&amp;IF(F9&gt;0,"Alfajor Maicena x7: "&amp;F9&amp;" pack. x $"&amp;TEXT($T9,"#,##0")&amp;" = $"&amp;TEXT(F9*$T9,"#,##0")&amp;CHAR(10),"")&amp;IF(G9&gt;0,"Alfajor Frutal x7: "&amp;G9&amp;" pack. x $"&amp;TEXT($T9,"#,##0")&amp;" = $"&amp;TEXT(G9*$T9,"#,##0")&amp;CHAR(10),"")&amp;IF(H9&gt;0,"Alfajor Santafesino x7: "&amp;H9&amp;" pack. x $"&amp;TEXT($T9,"#,##0")&amp;" = $"&amp;TEXT(H9*$T9,"#,##0")&amp;CHAR(10),"")&amp;IF(I9&gt;0,"Alfajor Maicena x14: "&amp;I9&amp;" pack. x $"&amp;TEXT($U9,"#,##0")&amp;" = $"&amp;TEXT(I9*$U9,"#,##0")&amp;CHAR(10),"")&amp;IF(J9&gt;0,"Pepas DDL: "&amp;J9&amp;" band. x $"&amp;TEXT($V9,"#,##0")&amp;" = $"&amp;TEXT(J9*$V9,"#,##0")&amp;CHAR(10),"")&amp;IF(K9&gt;0,"Pepas Membrillo: "&amp;K9&amp;" band. x $"&amp;TEXT($V9,"#,##0")&amp;" = $"&amp;TEXT(K9*$V9,"#,##0")&amp;CHAR(10),"")&amp;IF(L9&gt;0,"Pepas Arándano: "&amp;L9&amp;" band. x $"&amp;TEXT($V9,"#,##0")&amp;" = $"&amp;TEXT(L9*$V9,"#,##0")&amp;CHAR(10),"")&amp;IF(M9&gt;0,"Pepas Batata: "&amp;M9&amp;" band. x $"&amp;TEXT($V9,"#,##0")&amp;" = $"&amp;TEXT(M9*$V9,"#,##0")&amp;CHAR(10),"")&amp;IF(N9&gt;0,"Pepas Frutos del Bosque: "&amp;N9&amp;" band. x $"&amp;TEXT($V9,"#,##0")&amp;" = $"&amp;TEXT(N9*$V9,"#,##0")&amp;CHAR(10),"")&amp;"................................."&amp;CHAR(10)&amp;"*TOTAL: $"&amp;TEXT(P9,"#,##0")&amp;"*"&amp;CHAR(10)&amp;CHAR(10)&amp;"¡Gracias por tu pedido! 🙏")</f>
        <v/>
      </c>
      <c r="T9" s="78">
        <f>IF(C9="",Config!$B$5,IF(C9&gt;=Config!$B$2,Config!$C$5,Config!$B$5))</f>
        <v/>
      </c>
      <c r="U9" s="78">
        <f>IF(C9="",Config!$B$8,IF(C9&gt;=Config!$B$2,Config!$C$8,Config!$B$8))</f>
        <v/>
      </c>
      <c r="V9" s="78">
        <f>IF(C9="",Config!$B$9,IF(C9&gt;=Config!$B$2,Config!$C$9,Config!$B$9))</f>
        <v/>
      </c>
    </row>
    <row r="10" ht="60" customHeight="1" s="55">
      <c r="A10" s="72">
        <f>IF(D10="","",ROW()-4)</f>
        <v/>
      </c>
      <c r="B10" s="73" t="n"/>
      <c r="C10" s="73" t="n"/>
      <c r="D10" s="74" t="n"/>
      <c r="E10" s="74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2">
        <f>IF(D10="","",SUM(F10:N10))</f>
        <v/>
      </c>
      <c r="P10" s="76">
        <f>IF(D10="","",(F10+G10+H10)*T10+I10*U10+(J10+K10+L10+M10+N10)*V10)</f>
        <v/>
      </c>
      <c r="Q10" s="74" t="n"/>
      <c r="R10" s="77">
        <f>IF(OR(D10="",O10=0),"","🥮 *NUESTRO ALFAJOR*"&amp;CHAR(10)&amp;"Remito N° "&amp;A10&amp;CHAR(10)&amp;"Fecha entrega: "&amp;TEXT(C10,"DD/MM/YYYY")&amp;CHAR(10)&amp;"Cliente: "&amp;D10&amp;IF(E10&lt;&gt;"",", "&amp;E10,"")&amp;CHAR(10)&amp;"................................."&amp;CHAR(10)&amp;IF(F10&gt;0,"Alfajor Maicena x7: "&amp;F10&amp;" pack. x $"&amp;TEXT($T10,"#,##0")&amp;" = $"&amp;TEXT(F10*$T10,"#,##0")&amp;CHAR(10),"")&amp;IF(G10&gt;0,"Alfajor Frutal x7: "&amp;G10&amp;" pack. x $"&amp;TEXT($T10,"#,##0")&amp;" = $"&amp;TEXT(G10*$T10,"#,##0")&amp;CHAR(10),"")&amp;IF(H10&gt;0,"Alfajor Santafesino x7: "&amp;H10&amp;" pack. x $"&amp;TEXT($T10,"#,##0")&amp;" = $"&amp;TEXT(H10*$T10,"#,##0")&amp;CHAR(10),"")&amp;IF(I10&gt;0,"Alfajor Maicena x14: "&amp;I10&amp;" pack. x $"&amp;TEXT($U10,"#,##0")&amp;" = $"&amp;TEXT(I10*$U10,"#,##0")&amp;CHAR(10),"")&amp;IF(J10&gt;0,"Pepas DDL: "&amp;J10&amp;" band. x $"&amp;TEXT($V10,"#,##0")&amp;" = $"&amp;TEXT(J10*$V10,"#,##0")&amp;CHAR(10),"")&amp;IF(K10&gt;0,"Pepas Membrillo: "&amp;K10&amp;" band. x $"&amp;TEXT($V10,"#,##0")&amp;" = $"&amp;TEXT(K10*$V10,"#,##0")&amp;CHAR(10),"")&amp;IF(L10&gt;0,"Pepas Arándano: "&amp;L10&amp;" band. x $"&amp;TEXT($V10,"#,##0")&amp;" = $"&amp;TEXT(L10*$V10,"#,##0")&amp;CHAR(10),"")&amp;IF(M10&gt;0,"Pepas Batata: "&amp;M10&amp;" band. x $"&amp;TEXT($V10,"#,##0")&amp;" = $"&amp;TEXT(M10*$V10,"#,##0")&amp;CHAR(10),"")&amp;IF(N10&gt;0,"Pepas Frutos del Bosque: "&amp;N10&amp;" band. x $"&amp;TEXT($V10,"#,##0")&amp;" = $"&amp;TEXT(N10*$V10,"#,##0")&amp;CHAR(10),"")&amp;"................................."&amp;CHAR(10)&amp;"*TOTAL: $"&amp;TEXT(P10,"#,##0")&amp;"*"&amp;CHAR(10)&amp;CHAR(10)&amp;"¡Gracias por tu pedido! 🙏")</f>
        <v/>
      </c>
      <c r="T10" s="78">
        <f>IF(C10="",Config!$B$5,IF(C10&gt;=Config!$B$2,Config!$C$5,Config!$B$5))</f>
        <v/>
      </c>
      <c r="U10" s="78">
        <f>IF(C10="",Config!$B$8,IF(C10&gt;=Config!$B$2,Config!$C$8,Config!$B$8))</f>
        <v/>
      </c>
      <c r="V10" s="78">
        <f>IF(C10="",Config!$B$9,IF(C10&gt;=Config!$B$2,Config!$C$9,Config!$B$9))</f>
        <v/>
      </c>
    </row>
    <row r="11" ht="60" customHeight="1" s="55">
      <c r="A11" s="72">
        <f>IF(D11="","",ROW()-4)</f>
        <v/>
      </c>
      <c r="B11" s="73" t="n"/>
      <c r="C11" s="73" t="n"/>
      <c r="D11" s="74" t="n"/>
      <c r="E11" s="74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2">
        <f>IF(D11="","",SUM(F11:N11))</f>
        <v/>
      </c>
      <c r="P11" s="76">
        <f>IF(D11="","",(F11+G11+H11)*T11+I11*U11+(J11+K11+L11+M11+N11)*V11)</f>
        <v/>
      </c>
      <c r="Q11" s="74" t="n"/>
      <c r="R11" s="77">
        <f>IF(OR(D11="",O11=0),"","🥮 *NUESTRO ALFAJOR*"&amp;CHAR(10)&amp;"Remito N° "&amp;A11&amp;CHAR(10)&amp;"Fecha entrega: "&amp;TEXT(C11,"DD/MM/YYYY")&amp;CHAR(10)&amp;"Cliente: "&amp;D11&amp;IF(E11&lt;&gt;"",", "&amp;E11,"")&amp;CHAR(10)&amp;"................................."&amp;CHAR(10)&amp;IF(F11&gt;0,"Alfajor Maicena x7: "&amp;F11&amp;" pack. x $"&amp;TEXT($T11,"#,##0")&amp;" = $"&amp;TEXT(F11*$T11,"#,##0")&amp;CHAR(10),"")&amp;IF(G11&gt;0,"Alfajor Frutal x7: "&amp;G11&amp;" pack. x $"&amp;TEXT($T11,"#,##0")&amp;" = $"&amp;TEXT(G11*$T11,"#,##0")&amp;CHAR(10),"")&amp;IF(H11&gt;0,"Alfajor Santafesino x7: "&amp;H11&amp;" pack. x $"&amp;TEXT($T11,"#,##0")&amp;" = $"&amp;TEXT(H11*$T11,"#,##0")&amp;CHAR(10),"")&amp;IF(I11&gt;0,"Alfajor Maicena x14: "&amp;I11&amp;" pack. x $"&amp;TEXT($U11,"#,##0")&amp;" = $"&amp;TEXT(I11*$U11,"#,##0")&amp;CHAR(10),"")&amp;IF(J11&gt;0,"Pepas DDL: "&amp;J11&amp;" band. x $"&amp;TEXT($V11,"#,##0")&amp;" = $"&amp;TEXT(J11*$V11,"#,##0")&amp;CHAR(10),"")&amp;IF(K11&gt;0,"Pepas Membrillo: "&amp;K11&amp;" band. x $"&amp;TEXT($V11,"#,##0")&amp;" = $"&amp;TEXT(K11*$V11,"#,##0")&amp;CHAR(10),"")&amp;IF(L11&gt;0,"Pepas Arándano: "&amp;L11&amp;" band. x $"&amp;TEXT($V11,"#,##0")&amp;" = $"&amp;TEXT(L11*$V11,"#,##0")&amp;CHAR(10),"")&amp;IF(M11&gt;0,"Pepas Batata: "&amp;M11&amp;" band. x $"&amp;TEXT($V11,"#,##0")&amp;" = $"&amp;TEXT(M11*$V11,"#,##0")&amp;CHAR(10),"")&amp;IF(N11&gt;0,"Pepas Frutos del Bosque: "&amp;N11&amp;" band. x $"&amp;TEXT($V11,"#,##0")&amp;" = $"&amp;TEXT(N11*$V11,"#,##0")&amp;CHAR(10),"")&amp;"................................."&amp;CHAR(10)&amp;"*TOTAL: $"&amp;TEXT(P11,"#,##0")&amp;"*"&amp;CHAR(10)&amp;CHAR(10)&amp;"¡Gracias por tu pedido! 🙏")</f>
        <v/>
      </c>
      <c r="T11" s="78">
        <f>IF(C11="",Config!$B$5,IF(C11&gt;=Config!$B$2,Config!$C$5,Config!$B$5))</f>
        <v/>
      </c>
      <c r="U11" s="78">
        <f>IF(C11="",Config!$B$8,IF(C11&gt;=Config!$B$2,Config!$C$8,Config!$B$8))</f>
        <v/>
      </c>
      <c r="V11" s="78">
        <f>IF(C11="",Config!$B$9,IF(C11&gt;=Config!$B$2,Config!$C$9,Config!$B$9))</f>
        <v/>
      </c>
    </row>
    <row r="12" ht="60" customHeight="1" s="55">
      <c r="A12" s="72">
        <f>IF(D12="","",ROW()-4)</f>
        <v/>
      </c>
      <c r="B12" s="73" t="n"/>
      <c r="C12" s="73" t="n"/>
      <c r="D12" s="74" t="n"/>
      <c r="E12" s="74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2">
        <f>IF(D12="","",SUM(F12:N12))</f>
        <v/>
      </c>
      <c r="P12" s="76">
        <f>IF(D12="","",(F12+G12+H12)*T12+I12*U12+(J12+K12+L12+M12+N12)*V12)</f>
        <v/>
      </c>
      <c r="Q12" s="74" t="n"/>
      <c r="R12" s="77">
        <f>IF(OR(D12="",O12=0),"","🥮 *NUESTRO ALFAJOR*"&amp;CHAR(10)&amp;"Remito N° "&amp;A12&amp;CHAR(10)&amp;"Fecha entrega: "&amp;TEXT(C12,"DD/MM/YYYY")&amp;CHAR(10)&amp;"Cliente: "&amp;D12&amp;IF(E12&lt;&gt;"",", "&amp;E12,"")&amp;CHAR(10)&amp;"................................."&amp;CHAR(10)&amp;IF(F12&gt;0,"Alfajor Maicena x7: "&amp;F12&amp;" pack. x $"&amp;TEXT($T12,"#,##0")&amp;" = $"&amp;TEXT(F12*$T12,"#,##0")&amp;CHAR(10),"")&amp;IF(G12&gt;0,"Alfajor Frutal x7: "&amp;G12&amp;" pack. x $"&amp;TEXT($T12,"#,##0")&amp;" = $"&amp;TEXT(G12*$T12,"#,##0")&amp;CHAR(10),"")&amp;IF(H12&gt;0,"Alfajor Santafesino x7: "&amp;H12&amp;" pack. x $"&amp;TEXT($T12,"#,##0")&amp;" = $"&amp;TEXT(H12*$T12,"#,##0")&amp;CHAR(10),"")&amp;IF(I12&gt;0,"Alfajor Maicena x14: "&amp;I12&amp;" pack. x $"&amp;TEXT($U12,"#,##0")&amp;" = $"&amp;TEXT(I12*$U12,"#,##0")&amp;CHAR(10),"")&amp;IF(J12&gt;0,"Pepas DDL: "&amp;J12&amp;" band. x $"&amp;TEXT($V12,"#,##0")&amp;" = $"&amp;TEXT(J12*$V12,"#,##0")&amp;CHAR(10),"")&amp;IF(K12&gt;0,"Pepas Membrillo: "&amp;K12&amp;" band. x $"&amp;TEXT($V12,"#,##0")&amp;" = $"&amp;TEXT(K12*$V12,"#,##0")&amp;CHAR(10),"")&amp;IF(L12&gt;0,"Pepas Arándano: "&amp;L12&amp;" band. x $"&amp;TEXT($V12,"#,##0")&amp;" = $"&amp;TEXT(L12*$V12,"#,##0")&amp;CHAR(10),"")&amp;IF(M12&gt;0,"Pepas Batata: "&amp;M12&amp;" band. x $"&amp;TEXT($V12,"#,##0")&amp;" = $"&amp;TEXT(M12*$V12,"#,##0")&amp;CHAR(10),"")&amp;IF(N12&gt;0,"Pepas Frutos del Bosque: "&amp;N12&amp;" band. x $"&amp;TEXT($V12,"#,##0")&amp;" = $"&amp;TEXT(N12*$V12,"#,##0")&amp;CHAR(10),"")&amp;"................................."&amp;CHAR(10)&amp;"*TOTAL: $"&amp;TEXT(P12,"#,##0")&amp;"*"&amp;CHAR(10)&amp;CHAR(10)&amp;"¡Gracias por tu pedido! 🙏")</f>
        <v/>
      </c>
      <c r="T12" s="78">
        <f>IF(C12="",Config!$B$5,IF(C12&gt;=Config!$B$2,Config!$C$5,Config!$B$5))</f>
        <v/>
      </c>
      <c r="U12" s="78">
        <f>IF(C12="",Config!$B$8,IF(C12&gt;=Config!$B$2,Config!$C$8,Config!$B$8))</f>
        <v/>
      </c>
      <c r="V12" s="78">
        <f>IF(C12="",Config!$B$9,IF(C12&gt;=Config!$B$2,Config!$C$9,Config!$B$9))</f>
        <v/>
      </c>
    </row>
    <row r="13" ht="60" customHeight="1" s="55">
      <c r="A13" s="72">
        <f>IF(D13="","",ROW()-4)</f>
        <v/>
      </c>
      <c r="B13" s="73" t="n"/>
      <c r="C13" s="73" t="n"/>
      <c r="D13" s="74" t="n"/>
      <c r="E13" s="74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2">
        <f>IF(D13="","",SUM(F13:N13))</f>
        <v/>
      </c>
      <c r="P13" s="76">
        <f>IF(D13="","",(F13+G13+H13)*T13+I13*U13+(J13+K13+L13+M13+N13)*V13)</f>
        <v/>
      </c>
      <c r="Q13" s="74" t="n"/>
      <c r="R13" s="77">
        <f>IF(OR(D13="",O13=0),"","🥮 *NUESTRO ALFAJOR*"&amp;CHAR(10)&amp;"Remito N° "&amp;A13&amp;CHAR(10)&amp;"Fecha entrega: "&amp;TEXT(C13,"DD/MM/YYYY")&amp;CHAR(10)&amp;"Cliente: "&amp;D13&amp;IF(E13&lt;&gt;"",", "&amp;E13,"")&amp;CHAR(10)&amp;"................................."&amp;CHAR(10)&amp;IF(F13&gt;0,"Alfajor Maicena x7: "&amp;F13&amp;" pack. x $"&amp;TEXT($T13,"#,##0")&amp;" = $"&amp;TEXT(F13*$T13,"#,##0")&amp;CHAR(10),"")&amp;IF(G13&gt;0,"Alfajor Frutal x7: "&amp;G13&amp;" pack. x $"&amp;TEXT($T13,"#,##0")&amp;" = $"&amp;TEXT(G13*$T13,"#,##0")&amp;CHAR(10),"")&amp;IF(H13&gt;0,"Alfajor Santafesino x7: "&amp;H13&amp;" pack. x $"&amp;TEXT($T13,"#,##0")&amp;" = $"&amp;TEXT(H13*$T13,"#,##0")&amp;CHAR(10),"")&amp;IF(I13&gt;0,"Alfajor Maicena x14: "&amp;I13&amp;" pack. x $"&amp;TEXT($U13,"#,##0")&amp;" = $"&amp;TEXT(I13*$U13,"#,##0")&amp;CHAR(10),"")&amp;IF(J13&gt;0,"Pepas DDL: "&amp;J13&amp;" band. x $"&amp;TEXT($V13,"#,##0")&amp;" = $"&amp;TEXT(J13*$V13,"#,##0")&amp;CHAR(10),"")&amp;IF(K13&gt;0,"Pepas Membrillo: "&amp;K13&amp;" band. x $"&amp;TEXT($V13,"#,##0")&amp;" = $"&amp;TEXT(K13*$V13,"#,##0")&amp;CHAR(10),"")&amp;IF(L13&gt;0,"Pepas Arándano: "&amp;L13&amp;" band. x $"&amp;TEXT($V13,"#,##0")&amp;" = $"&amp;TEXT(L13*$V13,"#,##0")&amp;CHAR(10),"")&amp;IF(M13&gt;0,"Pepas Batata: "&amp;M13&amp;" band. x $"&amp;TEXT($V13,"#,##0")&amp;" = $"&amp;TEXT(M13*$V13,"#,##0")&amp;CHAR(10),"")&amp;IF(N13&gt;0,"Pepas Frutos del Bosque: "&amp;N13&amp;" band. x $"&amp;TEXT($V13,"#,##0")&amp;" = $"&amp;TEXT(N13*$V13,"#,##0")&amp;CHAR(10),"")&amp;"................................."&amp;CHAR(10)&amp;"*TOTAL: $"&amp;TEXT(P13,"#,##0")&amp;"*"&amp;CHAR(10)&amp;CHAR(10)&amp;"¡Gracias por tu pedido! 🙏")</f>
        <v/>
      </c>
      <c r="T13" s="78">
        <f>IF(C13="",Config!$B$5,IF(C13&gt;=Config!$B$2,Config!$C$5,Config!$B$5))</f>
        <v/>
      </c>
      <c r="U13" s="78">
        <f>IF(C13="",Config!$B$8,IF(C13&gt;=Config!$B$2,Config!$C$8,Config!$B$8))</f>
        <v/>
      </c>
      <c r="V13" s="78">
        <f>IF(C13="",Config!$B$9,IF(C13&gt;=Config!$B$2,Config!$C$9,Config!$B$9))</f>
        <v/>
      </c>
    </row>
    <row r="14" ht="60" customHeight="1" s="55">
      <c r="A14" s="72">
        <f>IF(D14="","",ROW()-4)</f>
        <v/>
      </c>
      <c r="B14" s="73" t="n"/>
      <c r="C14" s="73" t="n"/>
      <c r="D14" s="74" t="n"/>
      <c r="E14" s="74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2">
        <f>IF(D14="","",SUM(F14:N14))</f>
        <v/>
      </c>
      <c r="P14" s="76">
        <f>IF(D14="","",(F14+G14+H14)*T14+I14*U14+(J14+K14+L14+M14+N14)*V14)</f>
        <v/>
      </c>
      <c r="Q14" s="74" t="n"/>
      <c r="R14" s="77">
        <f>IF(OR(D14="",O14=0),"","🥮 *NUESTRO ALFAJOR*"&amp;CHAR(10)&amp;"Remito N° "&amp;A14&amp;CHAR(10)&amp;"Fecha entrega: "&amp;TEXT(C14,"DD/MM/YYYY")&amp;CHAR(10)&amp;"Cliente: "&amp;D14&amp;IF(E14&lt;&gt;"",", "&amp;E14,"")&amp;CHAR(10)&amp;"................................."&amp;CHAR(10)&amp;IF(F14&gt;0,"Alfajor Maicena x7: "&amp;F14&amp;" pack. x $"&amp;TEXT($T14,"#,##0")&amp;" = $"&amp;TEXT(F14*$T14,"#,##0")&amp;CHAR(10),"")&amp;IF(G14&gt;0,"Alfajor Frutal x7: "&amp;G14&amp;" pack. x $"&amp;TEXT($T14,"#,##0")&amp;" = $"&amp;TEXT(G14*$T14,"#,##0")&amp;CHAR(10),"")&amp;IF(H14&gt;0,"Alfajor Santafesino x7: "&amp;H14&amp;" pack. x $"&amp;TEXT($T14,"#,##0")&amp;" = $"&amp;TEXT(H14*$T14,"#,##0")&amp;CHAR(10),"")&amp;IF(I14&gt;0,"Alfajor Maicena x14: "&amp;I14&amp;" pack. x $"&amp;TEXT($U14,"#,##0")&amp;" = $"&amp;TEXT(I14*$U14,"#,##0")&amp;CHAR(10),"")&amp;IF(J14&gt;0,"Pepas DDL: "&amp;J14&amp;" band. x $"&amp;TEXT($V14,"#,##0")&amp;" = $"&amp;TEXT(J14*$V14,"#,##0")&amp;CHAR(10),"")&amp;IF(K14&gt;0,"Pepas Membrillo: "&amp;K14&amp;" band. x $"&amp;TEXT($V14,"#,##0")&amp;" = $"&amp;TEXT(K14*$V14,"#,##0")&amp;CHAR(10),"")&amp;IF(L14&gt;0,"Pepas Arándano: "&amp;L14&amp;" band. x $"&amp;TEXT($V14,"#,##0")&amp;" = $"&amp;TEXT(L14*$V14,"#,##0")&amp;CHAR(10),"")&amp;IF(M14&gt;0,"Pepas Batata: "&amp;M14&amp;" band. x $"&amp;TEXT($V14,"#,##0")&amp;" = $"&amp;TEXT(M14*$V14,"#,##0")&amp;CHAR(10),"")&amp;IF(N14&gt;0,"Pepas Frutos del Bosque: "&amp;N14&amp;" band. x $"&amp;TEXT($V14,"#,##0")&amp;" = $"&amp;TEXT(N14*$V14,"#,##0")&amp;CHAR(10),"")&amp;"................................."&amp;CHAR(10)&amp;"*TOTAL: $"&amp;TEXT(P14,"#,##0")&amp;"*"&amp;CHAR(10)&amp;CHAR(10)&amp;"¡Gracias por tu pedido! 🙏")</f>
        <v/>
      </c>
      <c r="T14" s="78">
        <f>IF(C14="",Config!$B$5,IF(C14&gt;=Config!$B$2,Config!$C$5,Config!$B$5))</f>
        <v/>
      </c>
      <c r="U14" s="78">
        <f>IF(C14="",Config!$B$8,IF(C14&gt;=Config!$B$2,Config!$C$8,Config!$B$8))</f>
        <v/>
      </c>
      <c r="V14" s="78">
        <f>IF(C14="",Config!$B$9,IF(C14&gt;=Config!$B$2,Config!$C$9,Config!$B$9))</f>
        <v/>
      </c>
    </row>
    <row r="15" ht="60" customHeight="1" s="55">
      <c r="A15" s="72">
        <f>IF(D15="","",ROW()-4)</f>
        <v/>
      </c>
      <c r="B15" s="73" t="n"/>
      <c r="C15" s="73" t="n"/>
      <c r="D15" s="74" t="n"/>
      <c r="E15" s="74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2">
        <f>IF(D15="","",SUM(F15:N15))</f>
        <v/>
      </c>
      <c r="P15" s="76">
        <f>IF(D15="","",(F15+G15+H15)*T15+I15*U15+(J15+K15+L15+M15+N15)*V15)</f>
        <v/>
      </c>
      <c r="Q15" s="74" t="n"/>
      <c r="R15" s="77">
        <f>IF(OR(D15="",O15=0),"","🥮 *NUESTRO ALFAJOR*"&amp;CHAR(10)&amp;"Remito N° "&amp;A15&amp;CHAR(10)&amp;"Fecha entrega: "&amp;TEXT(C15,"DD/MM/YYYY")&amp;CHAR(10)&amp;"Cliente: "&amp;D15&amp;IF(E15&lt;&gt;"",", "&amp;E15,"")&amp;CHAR(10)&amp;"................................."&amp;CHAR(10)&amp;IF(F15&gt;0,"Alfajor Maicena x7: "&amp;F15&amp;" pack. x $"&amp;TEXT($T15,"#,##0")&amp;" = $"&amp;TEXT(F15*$T15,"#,##0")&amp;CHAR(10),"")&amp;IF(G15&gt;0,"Alfajor Frutal x7: "&amp;G15&amp;" pack. x $"&amp;TEXT($T15,"#,##0")&amp;" = $"&amp;TEXT(G15*$T15,"#,##0")&amp;CHAR(10),"")&amp;IF(H15&gt;0,"Alfajor Santafesino x7: "&amp;H15&amp;" pack. x $"&amp;TEXT($T15,"#,##0")&amp;" = $"&amp;TEXT(H15*$T15,"#,##0")&amp;CHAR(10),"")&amp;IF(I15&gt;0,"Alfajor Maicena x14: "&amp;I15&amp;" pack. x $"&amp;TEXT($U15,"#,##0")&amp;" = $"&amp;TEXT(I15*$U15,"#,##0")&amp;CHAR(10),"")&amp;IF(J15&gt;0,"Pepas DDL: "&amp;J15&amp;" band. x $"&amp;TEXT($V15,"#,##0")&amp;" = $"&amp;TEXT(J15*$V15,"#,##0")&amp;CHAR(10),"")&amp;IF(K15&gt;0,"Pepas Membrillo: "&amp;K15&amp;" band. x $"&amp;TEXT($V15,"#,##0")&amp;" = $"&amp;TEXT(K15*$V15,"#,##0")&amp;CHAR(10),"")&amp;IF(L15&gt;0,"Pepas Arándano: "&amp;L15&amp;" band. x $"&amp;TEXT($V15,"#,##0")&amp;" = $"&amp;TEXT(L15*$V15,"#,##0")&amp;CHAR(10),"")&amp;IF(M15&gt;0,"Pepas Batata: "&amp;M15&amp;" band. x $"&amp;TEXT($V15,"#,##0")&amp;" = $"&amp;TEXT(M15*$V15,"#,##0")&amp;CHAR(10),"")&amp;IF(N15&gt;0,"Pepas Frutos del Bosque: "&amp;N15&amp;" band. x $"&amp;TEXT($V15,"#,##0")&amp;" = $"&amp;TEXT(N15*$V15,"#,##0")&amp;CHAR(10),"")&amp;"................................."&amp;CHAR(10)&amp;"*TOTAL: $"&amp;TEXT(P15,"#,##0")&amp;"*"&amp;CHAR(10)&amp;CHAR(10)&amp;"¡Gracias por tu pedido! 🙏")</f>
        <v/>
      </c>
      <c r="T15" s="78">
        <f>IF(C15="",Config!$B$5,IF(C15&gt;=Config!$B$2,Config!$C$5,Config!$B$5))</f>
        <v/>
      </c>
      <c r="U15" s="78">
        <f>IF(C15="",Config!$B$8,IF(C15&gt;=Config!$B$2,Config!$C$8,Config!$B$8))</f>
        <v/>
      </c>
      <c r="V15" s="78">
        <f>IF(C15="",Config!$B$9,IF(C15&gt;=Config!$B$2,Config!$C$9,Config!$B$9))</f>
        <v/>
      </c>
    </row>
    <row r="16" ht="60" customHeight="1" s="55">
      <c r="A16" s="72">
        <f>IF(D16="","",ROW()-4)</f>
        <v/>
      </c>
      <c r="B16" s="73" t="n"/>
      <c r="C16" s="73" t="n"/>
      <c r="D16" s="74" t="n"/>
      <c r="E16" s="74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2">
        <f>IF(D16="","",SUM(F16:N16))</f>
        <v/>
      </c>
      <c r="P16" s="76">
        <f>IF(D16="","",(F16+G16+H16)*T16+I16*U16+(J16+K16+L16+M16+N16)*V16)</f>
        <v/>
      </c>
      <c r="Q16" s="74" t="n"/>
      <c r="R16" s="77">
        <f>IF(OR(D16="",O16=0),"","🥮 *NUESTRO ALFAJOR*"&amp;CHAR(10)&amp;"Remito N° "&amp;A16&amp;CHAR(10)&amp;"Fecha entrega: "&amp;TEXT(C16,"DD/MM/YYYY")&amp;CHAR(10)&amp;"Cliente: "&amp;D16&amp;IF(E16&lt;&gt;"",", "&amp;E16,"")&amp;CHAR(10)&amp;"................................."&amp;CHAR(10)&amp;IF(F16&gt;0,"Alfajor Maicena x7: "&amp;F16&amp;" pack. x $"&amp;TEXT($T16,"#,##0")&amp;" = $"&amp;TEXT(F16*$T16,"#,##0")&amp;CHAR(10),"")&amp;IF(G16&gt;0,"Alfajor Frutal x7: "&amp;G16&amp;" pack. x $"&amp;TEXT($T16,"#,##0")&amp;" = $"&amp;TEXT(G16*$T16,"#,##0")&amp;CHAR(10),"")&amp;IF(H16&gt;0,"Alfajor Santafesino x7: "&amp;H16&amp;" pack. x $"&amp;TEXT($T16,"#,##0")&amp;" = $"&amp;TEXT(H16*$T16,"#,##0")&amp;CHAR(10),"")&amp;IF(I16&gt;0,"Alfajor Maicena x14: "&amp;I16&amp;" pack. x $"&amp;TEXT($U16,"#,##0")&amp;" = $"&amp;TEXT(I16*$U16,"#,##0")&amp;CHAR(10),"")&amp;IF(J16&gt;0,"Pepas DDL: "&amp;J16&amp;" band. x $"&amp;TEXT($V16,"#,##0")&amp;" = $"&amp;TEXT(J16*$V16,"#,##0")&amp;CHAR(10),"")&amp;IF(K16&gt;0,"Pepas Membrillo: "&amp;K16&amp;" band. x $"&amp;TEXT($V16,"#,##0")&amp;" = $"&amp;TEXT(K16*$V16,"#,##0")&amp;CHAR(10),"")&amp;IF(L16&gt;0,"Pepas Arándano: "&amp;L16&amp;" band. x $"&amp;TEXT($V16,"#,##0")&amp;" = $"&amp;TEXT(L16*$V16,"#,##0")&amp;CHAR(10),"")&amp;IF(M16&gt;0,"Pepas Batata: "&amp;M16&amp;" band. x $"&amp;TEXT($V16,"#,##0")&amp;" = $"&amp;TEXT(M16*$V16,"#,##0")&amp;CHAR(10),"")&amp;IF(N16&gt;0,"Pepas Frutos del Bosque: "&amp;N16&amp;" band. x $"&amp;TEXT($V16,"#,##0")&amp;" = $"&amp;TEXT(N16*$V16,"#,##0")&amp;CHAR(10),"")&amp;"................................."&amp;CHAR(10)&amp;"*TOTAL: $"&amp;TEXT(P16,"#,##0")&amp;"*"&amp;CHAR(10)&amp;CHAR(10)&amp;"¡Gracias por tu pedido! 🙏")</f>
        <v/>
      </c>
      <c r="T16" s="78">
        <f>IF(C16="",Config!$B$5,IF(C16&gt;=Config!$B$2,Config!$C$5,Config!$B$5))</f>
        <v/>
      </c>
      <c r="U16" s="78">
        <f>IF(C16="",Config!$B$8,IF(C16&gt;=Config!$B$2,Config!$C$8,Config!$B$8))</f>
        <v/>
      </c>
      <c r="V16" s="78">
        <f>IF(C16="",Config!$B$9,IF(C16&gt;=Config!$B$2,Config!$C$9,Config!$B$9))</f>
        <v/>
      </c>
    </row>
    <row r="17" ht="60" customHeight="1" s="55">
      <c r="A17" s="72">
        <f>IF(D17="","",ROW()-4)</f>
        <v/>
      </c>
      <c r="B17" s="73" t="n"/>
      <c r="C17" s="73" t="n"/>
      <c r="D17" s="74" t="n"/>
      <c r="E17" s="74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2">
        <f>IF(D17="","",SUM(F17:N17))</f>
        <v/>
      </c>
      <c r="P17" s="76">
        <f>IF(D17="","",(F17+G17+H17)*T17+I17*U17+(J17+K17+L17+M17+N17)*V17)</f>
        <v/>
      </c>
      <c r="Q17" s="74" t="n"/>
      <c r="R17" s="77">
        <f>IF(OR(D17="",O17=0),"","🥮 *NUESTRO ALFAJOR*"&amp;CHAR(10)&amp;"Remito N° "&amp;A17&amp;CHAR(10)&amp;"Fecha entrega: "&amp;TEXT(C17,"DD/MM/YYYY")&amp;CHAR(10)&amp;"Cliente: "&amp;D17&amp;IF(E17&lt;&gt;"",", "&amp;E17,"")&amp;CHAR(10)&amp;"................................."&amp;CHAR(10)&amp;IF(F17&gt;0,"Alfajor Maicena x7: "&amp;F17&amp;" pack. x $"&amp;TEXT($T17,"#,##0")&amp;" = $"&amp;TEXT(F17*$T17,"#,##0")&amp;CHAR(10),"")&amp;IF(G17&gt;0,"Alfajor Frutal x7: "&amp;G17&amp;" pack. x $"&amp;TEXT($T17,"#,##0")&amp;" = $"&amp;TEXT(G17*$T17,"#,##0")&amp;CHAR(10),"")&amp;IF(H17&gt;0,"Alfajor Santafesino x7: "&amp;H17&amp;" pack. x $"&amp;TEXT($T17,"#,##0")&amp;" = $"&amp;TEXT(H17*$T17,"#,##0")&amp;CHAR(10),"")&amp;IF(I17&gt;0,"Alfajor Maicena x14: "&amp;I17&amp;" pack. x $"&amp;TEXT($U17,"#,##0")&amp;" = $"&amp;TEXT(I17*$U17,"#,##0")&amp;CHAR(10),"")&amp;IF(J17&gt;0,"Pepas DDL: "&amp;J17&amp;" band. x $"&amp;TEXT($V17,"#,##0")&amp;" = $"&amp;TEXT(J17*$V17,"#,##0")&amp;CHAR(10),"")&amp;IF(K17&gt;0,"Pepas Membrillo: "&amp;K17&amp;" band. x $"&amp;TEXT($V17,"#,##0")&amp;" = $"&amp;TEXT(K17*$V17,"#,##0")&amp;CHAR(10),"")&amp;IF(L17&gt;0,"Pepas Arándano: "&amp;L17&amp;" band. x $"&amp;TEXT($V17,"#,##0")&amp;" = $"&amp;TEXT(L17*$V17,"#,##0")&amp;CHAR(10),"")&amp;IF(M17&gt;0,"Pepas Batata: "&amp;M17&amp;" band. x $"&amp;TEXT($V17,"#,##0")&amp;" = $"&amp;TEXT(M17*$V17,"#,##0")&amp;CHAR(10),"")&amp;IF(N17&gt;0,"Pepas Frutos del Bosque: "&amp;N17&amp;" band. x $"&amp;TEXT($V17,"#,##0")&amp;" = $"&amp;TEXT(N17*$V17,"#,##0")&amp;CHAR(10),"")&amp;"................................."&amp;CHAR(10)&amp;"*TOTAL: $"&amp;TEXT(P17,"#,##0")&amp;"*"&amp;CHAR(10)&amp;CHAR(10)&amp;"¡Gracias por tu pedido! 🙏")</f>
        <v/>
      </c>
      <c r="T17" s="78">
        <f>IF(C17="",Config!$B$5,IF(C17&gt;=Config!$B$2,Config!$C$5,Config!$B$5))</f>
        <v/>
      </c>
      <c r="U17" s="78">
        <f>IF(C17="",Config!$B$8,IF(C17&gt;=Config!$B$2,Config!$C$8,Config!$B$8))</f>
        <v/>
      </c>
      <c r="V17" s="78">
        <f>IF(C17="",Config!$B$9,IF(C17&gt;=Config!$B$2,Config!$C$9,Config!$B$9))</f>
        <v/>
      </c>
    </row>
    <row r="18" ht="60" customHeight="1" s="55">
      <c r="A18" s="72">
        <f>IF(D18="","",ROW()-4)</f>
        <v/>
      </c>
      <c r="B18" s="73" t="n"/>
      <c r="C18" s="73" t="n"/>
      <c r="D18" s="74" t="n"/>
      <c r="E18" s="74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2">
        <f>IF(D18="","",SUM(F18:N18))</f>
        <v/>
      </c>
      <c r="P18" s="76">
        <f>IF(D18="","",(F18+G18+H18)*T18+I18*U18+(J18+K18+L18+M18+N18)*V18)</f>
        <v/>
      </c>
      <c r="Q18" s="74" t="n"/>
      <c r="R18" s="77">
        <f>IF(OR(D18="",O18=0),"","🥮 *NUESTRO ALFAJOR*"&amp;CHAR(10)&amp;"Remito N° "&amp;A18&amp;CHAR(10)&amp;"Fecha entrega: "&amp;TEXT(C18,"DD/MM/YYYY")&amp;CHAR(10)&amp;"Cliente: "&amp;D18&amp;IF(E18&lt;&gt;"",", "&amp;E18,"")&amp;CHAR(10)&amp;"................................."&amp;CHAR(10)&amp;IF(F18&gt;0,"Alfajor Maicena x7: "&amp;F18&amp;" pack. x $"&amp;TEXT($T18,"#,##0")&amp;" = $"&amp;TEXT(F18*$T18,"#,##0")&amp;CHAR(10),"")&amp;IF(G18&gt;0,"Alfajor Frutal x7: "&amp;G18&amp;" pack. x $"&amp;TEXT($T18,"#,##0")&amp;" = $"&amp;TEXT(G18*$T18,"#,##0")&amp;CHAR(10),"")&amp;IF(H18&gt;0,"Alfajor Santafesino x7: "&amp;H18&amp;" pack. x $"&amp;TEXT($T18,"#,##0")&amp;" = $"&amp;TEXT(H18*$T18,"#,##0")&amp;CHAR(10),"")&amp;IF(I18&gt;0,"Alfajor Maicena x14: "&amp;I18&amp;" pack. x $"&amp;TEXT($U18,"#,##0")&amp;" = $"&amp;TEXT(I18*$U18,"#,##0")&amp;CHAR(10),"")&amp;IF(J18&gt;0,"Pepas DDL: "&amp;J18&amp;" band. x $"&amp;TEXT($V18,"#,##0")&amp;" = $"&amp;TEXT(J18*$V18,"#,##0")&amp;CHAR(10),"")&amp;IF(K18&gt;0,"Pepas Membrillo: "&amp;K18&amp;" band. x $"&amp;TEXT($V18,"#,##0")&amp;" = $"&amp;TEXT(K18*$V18,"#,##0")&amp;CHAR(10),"")&amp;IF(L18&gt;0,"Pepas Arándano: "&amp;L18&amp;" band. x $"&amp;TEXT($V18,"#,##0")&amp;" = $"&amp;TEXT(L18*$V18,"#,##0")&amp;CHAR(10),"")&amp;IF(M18&gt;0,"Pepas Batata: "&amp;M18&amp;" band. x $"&amp;TEXT($V18,"#,##0")&amp;" = $"&amp;TEXT(M18*$V18,"#,##0")&amp;CHAR(10),"")&amp;IF(N18&gt;0,"Pepas Frutos del Bosque: "&amp;N18&amp;" band. x $"&amp;TEXT($V18,"#,##0")&amp;" = $"&amp;TEXT(N18*$V18,"#,##0")&amp;CHAR(10),"")&amp;"................................."&amp;CHAR(10)&amp;"*TOTAL: $"&amp;TEXT(P18,"#,##0")&amp;"*"&amp;CHAR(10)&amp;CHAR(10)&amp;"¡Gracias por tu pedido! 🙏")</f>
        <v/>
      </c>
      <c r="T18" s="78">
        <f>IF(C18="",Config!$B$5,IF(C18&gt;=Config!$B$2,Config!$C$5,Config!$B$5))</f>
        <v/>
      </c>
      <c r="U18" s="78">
        <f>IF(C18="",Config!$B$8,IF(C18&gt;=Config!$B$2,Config!$C$8,Config!$B$8))</f>
        <v/>
      </c>
      <c r="V18" s="78">
        <f>IF(C18="",Config!$B$9,IF(C18&gt;=Config!$B$2,Config!$C$9,Config!$B$9))</f>
        <v/>
      </c>
    </row>
    <row r="19" ht="60" customHeight="1" s="55">
      <c r="A19" s="72">
        <f>IF(D19="","",ROW()-4)</f>
        <v/>
      </c>
      <c r="B19" s="73" t="n"/>
      <c r="C19" s="73" t="n"/>
      <c r="D19" s="74" t="n"/>
      <c r="E19" s="74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2">
        <f>IF(D19="","",SUM(F19:N19))</f>
        <v/>
      </c>
      <c r="P19" s="76">
        <f>IF(D19="","",(F19+G19+H19)*T19+I19*U19+(J19+K19+L19+M19+N19)*V19)</f>
        <v/>
      </c>
      <c r="Q19" s="74" t="n"/>
      <c r="R19" s="77">
        <f>IF(OR(D19="",O19=0),"","🥮 *NUESTRO ALFAJOR*"&amp;CHAR(10)&amp;"Remito N° "&amp;A19&amp;CHAR(10)&amp;"Fecha entrega: "&amp;TEXT(C19,"DD/MM/YYYY")&amp;CHAR(10)&amp;"Cliente: "&amp;D19&amp;IF(E19&lt;&gt;"",", "&amp;E19,"")&amp;CHAR(10)&amp;"................................."&amp;CHAR(10)&amp;IF(F19&gt;0,"Alfajor Maicena x7: "&amp;F19&amp;" pack. x $"&amp;TEXT($T19,"#,##0")&amp;" = $"&amp;TEXT(F19*$T19,"#,##0")&amp;CHAR(10),"")&amp;IF(G19&gt;0,"Alfajor Frutal x7: "&amp;G19&amp;" pack. x $"&amp;TEXT($T19,"#,##0")&amp;" = $"&amp;TEXT(G19*$T19,"#,##0")&amp;CHAR(10),"")&amp;IF(H19&gt;0,"Alfajor Santafesino x7: "&amp;H19&amp;" pack. x $"&amp;TEXT($T19,"#,##0")&amp;" = $"&amp;TEXT(H19*$T19,"#,##0")&amp;CHAR(10),"")&amp;IF(I19&gt;0,"Alfajor Maicena x14: "&amp;I19&amp;" pack. x $"&amp;TEXT($U19,"#,##0")&amp;" = $"&amp;TEXT(I19*$U19,"#,##0")&amp;CHAR(10),"")&amp;IF(J19&gt;0,"Pepas DDL: "&amp;J19&amp;" band. x $"&amp;TEXT($V19,"#,##0")&amp;" = $"&amp;TEXT(J19*$V19,"#,##0")&amp;CHAR(10),"")&amp;IF(K19&gt;0,"Pepas Membrillo: "&amp;K19&amp;" band. x $"&amp;TEXT($V19,"#,##0")&amp;" = $"&amp;TEXT(K19*$V19,"#,##0")&amp;CHAR(10),"")&amp;IF(L19&gt;0,"Pepas Arándano: "&amp;L19&amp;" band. x $"&amp;TEXT($V19,"#,##0")&amp;" = $"&amp;TEXT(L19*$V19,"#,##0")&amp;CHAR(10),"")&amp;IF(M19&gt;0,"Pepas Batata: "&amp;M19&amp;" band. x $"&amp;TEXT($V19,"#,##0")&amp;" = $"&amp;TEXT(M19*$V19,"#,##0")&amp;CHAR(10),"")&amp;IF(N19&gt;0,"Pepas Frutos del Bosque: "&amp;N19&amp;" band. x $"&amp;TEXT($V19,"#,##0")&amp;" = $"&amp;TEXT(N19*$V19,"#,##0")&amp;CHAR(10),"")&amp;"................................."&amp;CHAR(10)&amp;"*TOTAL: $"&amp;TEXT(P19,"#,##0")&amp;"*"&amp;CHAR(10)&amp;CHAR(10)&amp;"¡Gracias por tu pedido! 🙏")</f>
        <v/>
      </c>
      <c r="T19" s="78">
        <f>IF(C19="",Config!$B$5,IF(C19&gt;=Config!$B$2,Config!$C$5,Config!$B$5))</f>
        <v/>
      </c>
      <c r="U19" s="78">
        <f>IF(C19="",Config!$B$8,IF(C19&gt;=Config!$B$2,Config!$C$8,Config!$B$8))</f>
        <v/>
      </c>
      <c r="V19" s="78">
        <f>IF(C19="",Config!$B$9,IF(C19&gt;=Config!$B$2,Config!$C$9,Config!$B$9))</f>
        <v/>
      </c>
    </row>
    <row r="20" ht="60" customHeight="1" s="55">
      <c r="A20" s="72">
        <f>IF(D20="","",ROW()-4)</f>
        <v/>
      </c>
      <c r="B20" s="73" t="n"/>
      <c r="C20" s="73" t="n"/>
      <c r="D20" s="74" t="n"/>
      <c r="E20" s="74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2">
        <f>IF(D20="","",SUM(F20:N20))</f>
        <v/>
      </c>
      <c r="P20" s="76">
        <f>IF(D20="","",(F20+G20+H20)*T20+I20*U20+(J20+K20+L20+M20+N20)*V20)</f>
        <v/>
      </c>
      <c r="Q20" s="74" t="n"/>
      <c r="R20" s="77">
        <f>IF(OR(D20="",O20=0),"","🥮 *NUESTRO ALFAJOR*"&amp;CHAR(10)&amp;"Remito N° "&amp;A20&amp;CHAR(10)&amp;"Fecha entrega: "&amp;TEXT(C20,"DD/MM/YYYY")&amp;CHAR(10)&amp;"Cliente: "&amp;D20&amp;IF(E20&lt;&gt;"",", "&amp;E20,"")&amp;CHAR(10)&amp;"................................."&amp;CHAR(10)&amp;IF(F20&gt;0,"Alfajor Maicena x7: "&amp;F20&amp;" pack. x $"&amp;TEXT($T20,"#,##0")&amp;" = $"&amp;TEXT(F20*$T20,"#,##0")&amp;CHAR(10),"")&amp;IF(G20&gt;0,"Alfajor Frutal x7: "&amp;G20&amp;" pack. x $"&amp;TEXT($T20,"#,##0")&amp;" = $"&amp;TEXT(G20*$T20,"#,##0")&amp;CHAR(10),"")&amp;IF(H20&gt;0,"Alfajor Santafesino x7: "&amp;H20&amp;" pack. x $"&amp;TEXT($T20,"#,##0")&amp;" = $"&amp;TEXT(H20*$T20,"#,##0")&amp;CHAR(10),"")&amp;IF(I20&gt;0,"Alfajor Maicena x14: "&amp;I20&amp;" pack. x $"&amp;TEXT($U20,"#,##0")&amp;" = $"&amp;TEXT(I20*$U20,"#,##0")&amp;CHAR(10),"")&amp;IF(J20&gt;0,"Pepas DDL: "&amp;J20&amp;" band. x $"&amp;TEXT($V20,"#,##0")&amp;" = $"&amp;TEXT(J20*$V20,"#,##0")&amp;CHAR(10),"")&amp;IF(K20&gt;0,"Pepas Membrillo: "&amp;K20&amp;" band. x $"&amp;TEXT($V20,"#,##0")&amp;" = $"&amp;TEXT(K20*$V20,"#,##0")&amp;CHAR(10),"")&amp;IF(L20&gt;0,"Pepas Arándano: "&amp;L20&amp;" band. x $"&amp;TEXT($V20,"#,##0")&amp;" = $"&amp;TEXT(L20*$V20,"#,##0")&amp;CHAR(10),"")&amp;IF(M20&gt;0,"Pepas Batata: "&amp;M20&amp;" band. x $"&amp;TEXT($V20,"#,##0")&amp;" = $"&amp;TEXT(M20*$V20,"#,##0")&amp;CHAR(10),"")&amp;IF(N20&gt;0,"Pepas Frutos del Bosque: "&amp;N20&amp;" band. x $"&amp;TEXT($V20,"#,##0")&amp;" = $"&amp;TEXT(N20*$V20,"#,##0")&amp;CHAR(10),"")&amp;"................................."&amp;CHAR(10)&amp;"*TOTAL: $"&amp;TEXT(P20,"#,##0")&amp;"*"&amp;CHAR(10)&amp;CHAR(10)&amp;"¡Gracias por tu pedido! 🙏")</f>
        <v/>
      </c>
      <c r="T20" s="78">
        <f>IF(C20="",Config!$B$5,IF(C20&gt;=Config!$B$2,Config!$C$5,Config!$B$5))</f>
        <v/>
      </c>
      <c r="U20" s="78">
        <f>IF(C20="",Config!$B$8,IF(C20&gt;=Config!$B$2,Config!$C$8,Config!$B$8))</f>
        <v/>
      </c>
      <c r="V20" s="78">
        <f>IF(C20="",Config!$B$9,IF(C20&gt;=Config!$B$2,Config!$C$9,Config!$B$9))</f>
        <v/>
      </c>
    </row>
    <row r="21" ht="60" customHeight="1" s="55">
      <c r="A21" s="72">
        <f>IF(D21="","",ROW()-4)</f>
        <v/>
      </c>
      <c r="B21" s="73" t="n"/>
      <c r="C21" s="73" t="n"/>
      <c r="D21" s="74" t="n"/>
      <c r="E21" s="74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2">
        <f>IF(D21="","",SUM(F21:N21))</f>
        <v/>
      </c>
      <c r="P21" s="76">
        <f>IF(D21="","",(F21+G21+H21)*T21+I21*U21+(J21+K21+L21+M21+N21)*V21)</f>
        <v/>
      </c>
      <c r="Q21" s="74" t="n"/>
      <c r="R21" s="77">
        <f>IF(OR(D21="",O21=0),"","🥮 *NUESTRO ALFAJOR*"&amp;CHAR(10)&amp;"Remito N° "&amp;A21&amp;CHAR(10)&amp;"Fecha entrega: "&amp;TEXT(C21,"DD/MM/YYYY")&amp;CHAR(10)&amp;"Cliente: "&amp;D21&amp;IF(E21&lt;&gt;"",", "&amp;E21,"")&amp;CHAR(10)&amp;"................................."&amp;CHAR(10)&amp;IF(F21&gt;0,"Alfajor Maicena x7: "&amp;F21&amp;" pack. x $"&amp;TEXT($T21,"#,##0")&amp;" = $"&amp;TEXT(F21*$T21,"#,##0")&amp;CHAR(10),"")&amp;IF(G21&gt;0,"Alfajor Frutal x7: "&amp;G21&amp;" pack. x $"&amp;TEXT($T21,"#,##0")&amp;" = $"&amp;TEXT(G21*$T21,"#,##0")&amp;CHAR(10),"")&amp;IF(H21&gt;0,"Alfajor Santafesino x7: "&amp;H21&amp;" pack. x $"&amp;TEXT($T21,"#,##0")&amp;" = $"&amp;TEXT(H21*$T21,"#,##0")&amp;CHAR(10),"")&amp;IF(I21&gt;0,"Alfajor Maicena x14: "&amp;I21&amp;" pack. x $"&amp;TEXT($U21,"#,##0")&amp;" = $"&amp;TEXT(I21*$U21,"#,##0")&amp;CHAR(10),"")&amp;IF(J21&gt;0,"Pepas DDL: "&amp;J21&amp;" band. x $"&amp;TEXT($V21,"#,##0")&amp;" = $"&amp;TEXT(J21*$V21,"#,##0")&amp;CHAR(10),"")&amp;IF(K21&gt;0,"Pepas Membrillo: "&amp;K21&amp;" band. x $"&amp;TEXT($V21,"#,##0")&amp;" = $"&amp;TEXT(K21*$V21,"#,##0")&amp;CHAR(10),"")&amp;IF(L21&gt;0,"Pepas Arándano: "&amp;L21&amp;" band. x $"&amp;TEXT($V21,"#,##0")&amp;" = $"&amp;TEXT(L21*$V21,"#,##0")&amp;CHAR(10),"")&amp;IF(M21&gt;0,"Pepas Batata: "&amp;M21&amp;" band. x $"&amp;TEXT($V21,"#,##0")&amp;" = $"&amp;TEXT(M21*$V21,"#,##0")&amp;CHAR(10),"")&amp;IF(N21&gt;0,"Pepas Frutos del Bosque: "&amp;N21&amp;" band. x $"&amp;TEXT($V21,"#,##0")&amp;" = $"&amp;TEXT(N21*$V21,"#,##0")&amp;CHAR(10),"")&amp;"................................."&amp;CHAR(10)&amp;"*TOTAL: $"&amp;TEXT(P21,"#,##0")&amp;"*"&amp;CHAR(10)&amp;CHAR(10)&amp;"¡Gracias por tu pedido! 🙏")</f>
        <v/>
      </c>
      <c r="T21" s="78">
        <f>IF(C21="",Config!$B$5,IF(C21&gt;=Config!$B$2,Config!$C$5,Config!$B$5))</f>
        <v/>
      </c>
      <c r="U21" s="78">
        <f>IF(C21="",Config!$B$8,IF(C21&gt;=Config!$B$2,Config!$C$8,Config!$B$8))</f>
        <v/>
      </c>
      <c r="V21" s="78">
        <f>IF(C21="",Config!$B$9,IF(C21&gt;=Config!$B$2,Config!$C$9,Config!$B$9))</f>
        <v/>
      </c>
    </row>
    <row r="22" ht="60" customHeight="1" s="55">
      <c r="A22" s="72">
        <f>IF(D22="","",ROW()-4)</f>
        <v/>
      </c>
      <c r="B22" s="73" t="n"/>
      <c r="C22" s="73" t="n"/>
      <c r="D22" s="74" t="n"/>
      <c r="E22" s="74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2">
        <f>IF(D22="","",SUM(F22:N22))</f>
        <v/>
      </c>
      <c r="P22" s="76">
        <f>IF(D22="","",(F22+G22+H22)*T22+I22*U22+(J22+K22+L22+M22+N22)*V22)</f>
        <v/>
      </c>
      <c r="Q22" s="74" t="n"/>
      <c r="R22" s="77">
        <f>IF(OR(D22="",O22=0),"","🥮 *NUESTRO ALFAJOR*"&amp;CHAR(10)&amp;"Remito N° "&amp;A22&amp;CHAR(10)&amp;"Fecha entrega: "&amp;TEXT(C22,"DD/MM/YYYY")&amp;CHAR(10)&amp;"Cliente: "&amp;D22&amp;IF(E22&lt;&gt;"",", "&amp;E22,"")&amp;CHAR(10)&amp;"................................."&amp;CHAR(10)&amp;IF(F22&gt;0,"Alfajor Maicena x7: "&amp;F22&amp;" pack. x $"&amp;TEXT($T22,"#,##0")&amp;" = $"&amp;TEXT(F22*$T22,"#,##0")&amp;CHAR(10),"")&amp;IF(G22&gt;0,"Alfajor Frutal x7: "&amp;G22&amp;" pack. x $"&amp;TEXT($T22,"#,##0")&amp;" = $"&amp;TEXT(G22*$T22,"#,##0")&amp;CHAR(10),"")&amp;IF(H22&gt;0,"Alfajor Santafesino x7: "&amp;H22&amp;" pack. x $"&amp;TEXT($T22,"#,##0")&amp;" = $"&amp;TEXT(H22*$T22,"#,##0")&amp;CHAR(10),"")&amp;IF(I22&gt;0,"Alfajor Maicena x14: "&amp;I22&amp;" pack. x $"&amp;TEXT($U22,"#,##0")&amp;" = $"&amp;TEXT(I22*$U22,"#,##0")&amp;CHAR(10),"")&amp;IF(J22&gt;0,"Pepas DDL: "&amp;J22&amp;" band. x $"&amp;TEXT($V22,"#,##0")&amp;" = $"&amp;TEXT(J22*$V22,"#,##0")&amp;CHAR(10),"")&amp;IF(K22&gt;0,"Pepas Membrillo: "&amp;K22&amp;" band. x $"&amp;TEXT($V22,"#,##0")&amp;" = $"&amp;TEXT(K22*$V22,"#,##0")&amp;CHAR(10),"")&amp;IF(L22&gt;0,"Pepas Arándano: "&amp;L22&amp;" band. x $"&amp;TEXT($V22,"#,##0")&amp;" = $"&amp;TEXT(L22*$V22,"#,##0")&amp;CHAR(10),"")&amp;IF(M22&gt;0,"Pepas Batata: "&amp;M22&amp;" band. x $"&amp;TEXT($V22,"#,##0")&amp;" = $"&amp;TEXT(M22*$V22,"#,##0")&amp;CHAR(10),"")&amp;IF(N22&gt;0,"Pepas Frutos del Bosque: "&amp;N22&amp;" band. x $"&amp;TEXT($V22,"#,##0")&amp;" = $"&amp;TEXT(N22*$V22,"#,##0")&amp;CHAR(10),"")&amp;"................................."&amp;CHAR(10)&amp;"*TOTAL: $"&amp;TEXT(P22,"#,##0")&amp;"*"&amp;CHAR(10)&amp;CHAR(10)&amp;"¡Gracias por tu pedido! 🙏")</f>
        <v/>
      </c>
      <c r="T22" s="78">
        <f>IF(C22="",Config!$B$5,IF(C22&gt;=Config!$B$2,Config!$C$5,Config!$B$5))</f>
        <v/>
      </c>
      <c r="U22" s="78">
        <f>IF(C22="",Config!$B$8,IF(C22&gt;=Config!$B$2,Config!$C$8,Config!$B$8))</f>
        <v/>
      </c>
      <c r="V22" s="78">
        <f>IF(C22="",Config!$B$9,IF(C22&gt;=Config!$B$2,Config!$C$9,Config!$B$9))</f>
        <v/>
      </c>
    </row>
    <row r="23" ht="60" customHeight="1" s="55">
      <c r="A23" s="72">
        <f>IF(D23="","",ROW()-4)</f>
        <v/>
      </c>
      <c r="B23" s="73" t="n"/>
      <c r="C23" s="73" t="n"/>
      <c r="D23" s="74" t="n"/>
      <c r="E23" s="74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2">
        <f>IF(D23="","",SUM(F23:N23))</f>
        <v/>
      </c>
      <c r="P23" s="76">
        <f>IF(D23="","",(F23+G23+H23)*T23+I23*U23+(J23+K23+L23+M23+N23)*V23)</f>
        <v/>
      </c>
      <c r="Q23" s="74" t="n"/>
      <c r="R23" s="77">
        <f>IF(OR(D23="",O23=0),"","🥮 *NUESTRO ALFAJOR*"&amp;CHAR(10)&amp;"Remito N° "&amp;A23&amp;CHAR(10)&amp;"Fecha entrega: "&amp;TEXT(C23,"DD/MM/YYYY")&amp;CHAR(10)&amp;"Cliente: "&amp;D23&amp;IF(E23&lt;&gt;"",", "&amp;E23,"")&amp;CHAR(10)&amp;"................................."&amp;CHAR(10)&amp;IF(F23&gt;0,"Alfajor Maicena x7: "&amp;F23&amp;" pack. x $"&amp;TEXT($T23,"#,##0")&amp;" = $"&amp;TEXT(F23*$T23,"#,##0")&amp;CHAR(10),"")&amp;IF(G23&gt;0,"Alfajor Frutal x7: "&amp;G23&amp;" pack. x $"&amp;TEXT($T23,"#,##0")&amp;" = $"&amp;TEXT(G23*$T23,"#,##0")&amp;CHAR(10),"")&amp;IF(H23&gt;0,"Alfajor Santafesino x7: "&amp;H23&amp;" pack. x $"&amp;TEXT($T23,"#,##0")&amp;" = $"&amp;TEXT(H23*$T23,"#,##0")&amp;CHAR(10),"")&amp;IF(I23&gt;0,"Alfajor Maicena x14: "&amp;I23&amp;" pack. x $"&amp;TEXT($U23,"#,##0")&amp;" = $"&amp;TEXT(I23*$U23,"#,##0")&amp;CHAR(10),"")&amp;IF(J23&gt;0,"Pepas DDL: "&amp;J23&amp;" band. x $"&amp;TEXT($V23,"#,##0")&amp;" = $"&amp;TEXT(J23*$V23,"#,##0")&amp;CHAR(10),"")&amp;IF(K23&gt;0,"Pepas Membrillo: "&amp;K23&amp;" band. x $"&amp;TEXT($V23,"#,##0")&amp;" = $"&amp;TEXT(K23*$V23,"#,##0")&amp;CHAR(10),"")&amp;IF(L23&gt;0,"Pepas Arándano: "&amp;L23&amp;" band. x $"&amp;TEXT($V23,"#,##0")&amp;" = $"&amp;TEXT(L23*$V23,"#,##0")&amp;CHAR(10),"")&amp;IF(M23&gt;0,"Pepas Batata: "&amp;M23&amp;" band. x $"&amp;TEXT($V23,"#,##0")&amp;" = $"&amp;TEXT(M23*$V23,"#,##0")&amp;CHAR(10),"")&amp;IF(N23&gt;0,"Pepas Frutos del Bosque: "&amp;N23&amp;" band. x $"&amp;TEXT($V23,"#,##0")&amp;" = $"&amp;TEXT(N23*$V23,"#,##0")&amp;CHAR(10),"")&amp;"................................."&amp;CHAR(10)&amp;"*TOTAL: $"&amp;TEXT(P23,"#,##0")&amp;"*"&amp;CHAR(10)&amp;CHAR(10)&amp;"¡Gracias por tu pedido! 🙏")</f>
        <v/>
      </c>
      <c r="T23" s="78">
        <f>IF(C23="",Config!$B$5,IF(C23&gt;=Config!$B$2,Config!$C$5,Config!$B$5))</f>
        <v/>
      </c>
      <c r="U23" s="78">
        <f>IF(C23="",Config!$B$8,IF(C23&gt;=Config!$B$2,Config!$C$8,Config!$B$8))</f>
        <v/>
      </c>
      <c r="V23" s="78">
        <f>IF(C23="",Config!$B$9,IF(C23&gt;=Config!$B$2,Config!$C$9,Config!$B$9))</f>
        <v/>
      </c>
    </row>
    <row r="24" ht="60" customHeight="1" s="55">
      <c r="A24" s="72">
        <f>IF(D24="","",ROW()-4)</f>
        <v/>
      </c>
      <c r="B24" s="73" t="n"/>
      <c r="C24" s="73" t="n"/>
      <c r="D24" s="74" t="n"/>
      <c r="E24" s="74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2">
        <f>IF(D24="","",SUM(F24:N24))</f>
        <v/>
      </c>
      <c r="P24" s="76">
        <f>IF(D24="","",(F24+G24+H24)*T24+I24*U24+(J24+K24+L24+M24+N24)*V24)</f>
        <v/>
      </c>
      <c r="Q24" s="74" t="n"/>
      <c r="R24" s="77">
        <f>IF(OR(D24="",O24=0),"","🥮 *NUESTRO ALFAJOR*"&amp;CHAR(10)&amp;"Remito N° "&amp;A24&amp;CHAR(10)&amp;"Fecha entrega: "&amp;TEXT(C24,"DD/MM/YYYY")&amp;CHAR(10)&amp;"Cliente: "&amp;D24&amp;IF(E24&lt;&gt;"",", "&amp;E24,"")&amp;CHAR(10)&amp;"................................."&amp;CHAR(10)&amp;IF(F24&gt;0,"Alfajor Maicena x7: "&amp;F24&amp;" pack. x $"&amp;TEXT($T24,"#,##0")&amp;" = $"&amp;TEXT(F24*$T24,"#,##0")&amp;CHAR(10),"")&amp;IF(G24&gt;0,"Alfajor Frutal x7: "&amp;G24&amp;" pack. x $"&amp;TEXT($T24,"#,##0")&amp;" = $"&amp;TEXT(G24*$T24,"#,##0")&amp;CHAR(10),"")&amp;IF(H24&gt;0,"Alfajor Santafesino x7: "&amp;H24&amp;" pack. x $"&amp;TEXT($T24,"#,##0")&amp;" = $"&amp;TEXT(H24*$T24,"#,##0")&amp;CHAR(10),"")&amp;IF(I24&gt;0,"Alfajor Maicena x14: "&amp;I24&amp;" pack. x $"&amp;TEXT($U24,"#,##0")&amp;" = $"&amp;TEXT(I24*$U24,"#,##0")&amp;CHAR(10),"")&amp;IF(J24&gt;0,"Pepas DDL: "&amp;J24&amp;" band. x $"&amp;TEXT($V24,"#,##0")&amp;" = $"&amp;TEXT(J24*$V24,"#,##0")&amp;CHAR(10),"")&amp;IF(K24&gt;0,"Pepas Membrillo: "&amp;K24&amp;" band. x $"&amp;TEXT($V24,"#,##0")&amp;" = $"&amp;TEXT(K24*$V24,"#,##0")&amp;CHAR(10),"")&amp;IF(L24&gt;0,"Pepas Arándano: "&amp;L24&amp;" band. x $"&amp;TEXT($V24,"#,##0")&amp;" = $"&amp;TEXT(L24*$V24,"#,##0")&amp;CHAR(10),"")&amp;IF(M24&gt;0,"Pepas Batata: "&amp;M24&amp;" band. x $"&amp;TEXT($V24,"#,##0")&amp;" = $"&amp;TEXT(M24*$V24,"#,##0")&amp;CHAR(10),"")&amp;IF(N24&gt;0,"Pepas Frutos del Bosque: "&amp;N24&amp;" band. x $"&amp;TEXT($V24,"#,##0")&amp;" = $"&amp;TEXT(N24*$V24,"#,##0")&amp;CHAR(10),"")&amp;"................................."&amp;CHAR(10)&amp;"*TOTAL: $"&amp;TEXT(P24,"#,##0")&amp;"*"&amp;CHAR(10)&amp;CHAR(10)&amp;"¡Gracias por tu pedido! 🙏")</f>
        <v/>
      </c>
      <c r="T24" s="78">
        <f>IF(C24="",Config!$B$5,IF(C24&gt;=Config!$B$2,Config!$C$5,Config!$B$5))</f>
        <v/>
      </c>
      <c r="U24" s="78">
        <f>IF(C24="",Config!$B$8,IF(C24&gt;=Config!$B$2,Config!$C$8,Config!$B$8))</f>
        <v/>
      </c>
      <c r="V24" s="78">
        <f>IF(C24="",Config!$B$9,IF(C24&gt;=Config!$B$2,Config!$C$9,Config!$B$9))</f>
        <v/>
      </c>
    </row>
    <row r="25" ht="60" customHeight="1" s="55">
      <c r="A25" s="72">
        <f>IF(D25="","",ROW()-4)</f>
        <v/>
      </c>
      <c r="B25" s="73" t="n"/>
      <c r="C25" s="73" t="n"/>
      <c r="D25" s="74" t="n"/>
      <c r="E25" s="74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2">
        <f>IF(D25="","",SUM(F25:N25))</f>
        <v/>
      </c>
      <c r="P25" s="76">
        <f>IF(D25="","",(F25+G25+H25)*T25+I25*U25+(J25+K25+L25+M25+N25)*V25)</f>
        <v/>
      </c>
      <c r="Q25" s="74" t="n"/>
      <c r="R25" s="77">
        <f>IF(OR(D25="",O25=0),"","🥮 *NUESTRO ALFAJOR*"&amp;CHAR(10)&amp;"Remito N° "&amp;A25&amp;CHAR(10)&amp;"Fecha entrega: "&amp;TEXT(C25,"DD/MM/YYYY")&amp;CHAR(10)&amp;"Cliente: "&amp;D25&amp;IF(E25&lt;&gt;"",", "&amp;E25,"")&amp;CHAR(10)&amp;"................................."&amp;CHAR(10)&amp;IF(F25&gt;0,"Alfajor Maicena x7: "&amp;F25&amp;" pack. x $"&amp;TEXT($T25,"#,##0")&amp;" = $"&amp;TEXT(F25*$T25,"#,##0")&amp;CHAR(10),"")&amp;IF(G25&gt;0,"Alfajor Frutal x7: "&amp;G25&amp;" pack. x $"&amp;TEXT($T25,"#,##0")&amp;" = $"&amp;TEXT(G25*$T25,"#,##0")&amp;CHAR(10),"")&amp;IF(H25&gt;0,"Alfajor Santafesino x7: "&amp;H25&amp;" pack. x $"&amp;TEXT($T25,"#,##0")&amp;" = $"&amp;TEXT(H25*$T25,"#,##0")&amp;CHAR(10),"")&amp;IF(I25&gt;0,"Alfajor Maicena x14: "&amp;I25&amp;" pack. x $"&amp;TEXT($U25,"#,##0")&amp;" = $"&amp;TEXT(I25*$U25,"#,##0")&amp;CHAR(10),"")&amp;IF(J25&gt;0,"Pepas DDL: "&amp;J25&amp;" band. x $"&amp;TEXT($V25,"#,##0")&amp;" = $"&amp;TEXT(J25*$V25,"#,##0")&amp;CHAR(10),"")&amp;IF(K25&gt;0,"Pepas Membrillo: "&amp;K25&amp;" band. x $"&amp;TEXT($V25,"#,##0")&amp;" = $"&amp;TEXT(K25*$V25,"#,##0")&amp;CHAR(10),"")&amp;IF(L25&gt;0,"Pepas Arándano: "&amp;L25&amp;" band. x $"&amp;TEXT($V25,"#,##0")&amp;" = $"&amp;TEXT(L25*$V25,"#,##0")&amp;CHAR(10),"")&amp;IF(M25&gt;0,"Pepas Batata: "&amp;M25&amp;" band. x $"&amp;TEXT($V25,"#,##0")&amp;" = $"&amp;TEXT(M25*$V25,"#,##0")&amp;CHAR(10),"")&amp;IF(N25&gt;0,"Pepas Frutos del Bosque: "&amp;N25&amp;" band. x $"&amp;TEXT($V25,"#,##0")&amp;" = $"&amp;TEXT(N25*$V25,"#,##0")&amp;CHAR(10),"")&amp;"................................."&amp;CHAR(10)&amp;"*TOTAL: $"&amp;TEXT(P25,"#,##0")&amp;"*"&amp;CHAR(10)&amp;CHAR(10)&amp;"¡Gracias por tu pedido! 🙏")</f>
        <v/>
      </c>
      <c r="T25" s="78">
        <f>IF(C25="",Config!$B$5,IF(C25&gt;=Config!$B$2,Config!$C$5,Config!$B$5))</f>
        <v/>
      </c>
      <c r="U25" s="78">
        <f>IF(C25="",Config!$B$8,IF(C25&gt;=Config!$B$2,Config!$C$8,Config!$B$8))</f>
        <v/>
      </c>
      <c r="V25" s="78">
        <f>IF(C25="",Config!$B$9,IF(C25&gt;=Config!$B$2,Config!$C$9,Config!$B$9))</f>
        <v/>
      </c>
    </row>
    <row r="26" ht="60" customHeight="1" s="55">
      <c r="A26" s="72">
        <f>IF(D26="","",ROW()-4)</f>
        <v/>
      </c>
      <c r="B26" s="73" t="n"/>
      <c r="C26" s="73" t="n"/>
      <c r="D26" s="74" t="n"/>
      <c r="E26" s="74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2">
        <f>IF(D26="","",SUM(F26:N26))</f>
        <v/>
      </c>
      <c r="P26" s="76">
        <f>IF(D26="","",(F26+G26+H26)*T26+I26*U26+(J26+K26+L26+M26+N26)*V26)</f>
        <v/>
      </c>
      <c r="Q26" s="74" t="n"/>
      <c r="R26" s="77">
        <f>IF(OR(D26="",O26=0),"","🥮 *NUESTRO ALFAJOR*"&amp;CHAR(10)&amp;"Remito N° "&amp;A26&amp;CHAR(10)&amp;"Fecha entrega: "&amp;TEXT(C26,"DD/MM/YYYY")&amp;CHAR(10)&amp;"Cliente: "&amp;D26&amp;IF(E26&lt;&gt;"",", "&amp;E26,"")&amp;CHAR(10)&amp;"................................."&amp;CHAR(10)&amp;IF(F26&gt;0,"Alfajor Maicena x7: "&amp;F26&amp;" pack. x $"&amp;TEXT($T26,"#,##0")&amp;" = $"&amp;TEXT(F26*$T26,"#,##0")&amp;CHAR(10),"")&amp;IF(G26&gt;0,"Alfajor Frutal x7: "&amp;G26&amp;" pack. x $"&amp;TEXT($T26,"#,##0")&amp;" = $"&amp;TEXT(G26*$T26,"#,##0")&amp;CHAR(10),"")&amp;IF(H26&gt;0,"Alfajor Santafesino x7: "&amp;H26&amp;" pack. x $"&amp;TEXT($T26,"#,##0")&amp;" = $"&amp;TEXT(H26*$T26,"#,##0")&amp;CHAR(10),"")&amp;IF(I26&gt;0,"Alfajor Maicena x14: "&amp;I26&amp;" pack. x $"&amp;TEXT($U26,"#,##0")&amp;" = $"&amp;TEXT(I26*$U26,"#,##0")&amp;CHAR(10),"")&amp;IF(J26&gt;0,"Pepas DDL: "&amp;J26&amp;" band. x $"&amp;TEXT($V26,"#,##0")&amp;" = $"&amp;TEXT(J26*$V26,"#,##0")&amp;CHAR(10),"")&amp;IF(K26&gt;0,"Pepas Membrillo: "&amp;K26&amp;" band. x $"&amp;TEXT($V26,"#,##0")&amp;" = $"&amp;TEXT(K26*$V26,"#,##0")&amp;CHAR(10),"")&amp;IF(L26&gt;0,"Pepas Arándano: "&amp;L26&amp;" band. x $"&amp;TEXT($V26,"#,##0")&amp;" = $"&amp;TEXT(L26*$V26,"#,##0")&amp;CHAR(10),"")&amp;IF(M26&gt;0,"Pepas Batata: "&amp;M26&amp;" band. x $"&amp;TEXT($V26,"#,##0")&amp;" = $"&amp;TEXT(M26*$V26,"#,##0")&amp;CHAR(10),"")&amp;IF(N26&gt;0,"Pepas Frutos del Bosque: "&amp;N26&amp;" band. x $"&amp;TEXT($V26,"#,##0")&amp;" = $"&amp;TEXT(N26*$V26,"#,##0")&amp;CHAR(10),"")&amp;"................................."&amp;CHAR(10)&amp;"*TOTAL: $"&amp;TEXT(P26,"#,##0")&amp;"*"&amp;CHAR(10)&amp;CHAR(10)&amp;"¡Gracias por tu pedido! 🙏")</f>
        <v/>
      </c>
      <c r="T26" s="78">
        <f>IF(C26="",Config!$B$5,IF(C26&gt;=Config!$B$2,Config!$C$5,Config!$B$5))</f>
        <v/>
      </c>
      <c r="U26" s="78">
        <f>IF(C26="",Config!$B$8,IF(C26&gt;=Config!$B$2,Config!$C$8,Config!$B$8))</f>
        <v/>
      </c>
      <c r="V26" s="78">
        <f>IF(C26="",Config!$B$9,IF(C26&gt;=Config!$B$2,Config!$C$9,Config!$B$9))</f>
        <v/>
      </c>
    </row>
    <row r="27" ht="60" customHeight="1" s="55">
      <c r="A27" s="72">
        <f>IF(D27="","",ROW()-4)</f>
        <v/>
      </c>
      <c r="B27" s="73" t="n"/>
      <c r="C27" s="73" t="n"/>
      <c r="D27" s="74" t="n"/>
      <c r="E27" s="74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2">
        <f>IF(D27="","",SUM(F27:N27))</f>
        <v/>
      </c>
      <c r="P27" s="76">
        <f>IF(D27="","",(F27+G27+H27)*T27+I27*U27+(J27+K27+L27+M27+N27)*V27)</f>
        <v/>
      </c>
      <c r="Q27" s="74" t="n"/>
      <c r="R27" s="77">
        <f>IF(OR(D27="",O27=0),"","🥮 *NUESTRO ALFAJOR*"&amp;CHAR(10)&amp;"Remito N° "&amp;A27&amp;CHAR(10)&amp;"Fecha entrega: "&amp;TEXT(C27,"DD/MM/YYYY")&amp;CHAR(10)&amp;"Cliente: "&amp;D27&amp;IF(E27&lt;&gt;"",", "&amp;E27,"")&amp;CHAR(10)&amp;"................................."&amp;CHAR(10)&amp;IF(F27&gt;0,"Alfajor Maicena x7: "&amp;F27&amp;" pack. x $"&amp;TEXT($T27,"#,##0")&amp;" = $"&amp;TEXT(F27*$T27,"#,##0")&amp;CHAR(10),"")&amp;IF(G27&gt;0,"Alfajor Frutal x7: "&amp;G27&amp;" pack. x $"&amp;TEXT($T27,"#,##0")&amp;" = $"&amp;TEXT(G27*$T27,"#,##0")&amp;CHAR(10),"")&amp;IF(H27&gt;0,"Alfajor Santafesino x7: "&amp;H27&amp;" pack. x $"&amp;TEXT($T27,"#,##0")&amp;" = $"&amp;TEXT(H27*$T27,"#,##0")&amp;CHAR(10),"")&amp;IF(I27&gt;0,"Alfajor Maicena x14: "&amp;I27&amp;" pack. x $"&amp;TEXT($U27,"#,##0")&amp;" = $"&amp;TEXT(I27*$U27,"#,##0")&amp;CHAR(10),"")&amp;IF(J27&gt;0,"Pepas DDL: "&amp;J27&amp;" band. x $"&amp;TEXT($V27,"#,##0")&amp;" = $"&amp;TEXT(J27*$V27,"#,##0")&amp;CHAR(10),"")&amp;IF(K27&gt;0,"Pepas Membrillo: "&amp;K27&amp;" band. x $"&amp;TEXT($V27,"#,##0")&amp;" = $"&amp;TEXT(K27*$V27,"#,##0")&amp;CHAR(10),"")&amp;IF(L27&gt;0,"Pepas Arándano: "&amp;L27&amp;" band. x $"&amp;TEXT($V27,"#,##0")&amp;" = $"&amp;TEXT(L27*$V27,"#,##0")&amp;CHAR(10),"")&amp;IF(M27&gt;0,"Pepas Batata: "&amp;M27&amp;" band. x $"&amp;TEXT($V27,"#,##0")&amp;" = $"&amp;TEXT(M27*$V27,"#,##0")&amp;CHAR(10),"")&amp;IF(N27&gt;0,"Pepas Frutos del Bosque: "&amp;N27&amp;" band. x $"&amp;TEXT($V27,"#,##0")&amp;" = $"&amp;TEXT(N27*$V27,"#,##0")&amp;CHAR(10),"")&amp;"................................."&amp;CHAR(10)&amp;"*TOTAL: $"&amp;TEXT(P27,"#,##0")&amp;"*"&amp;CHAR(10)&amp;CHAR(10)&amp;"¡Gracias por tu pedido! 🙏")</f>
        <v/>
      </c>
      <c r="T27" s="78">
        <f>IF(C27="",Config!$B$5,IF(C27&gt;=Config!$B$2,Config!$C$5,Config!$B$5))</f>
        <v/>
      </c>
      <c r="U27" s="78">
        <f>IF(C27="",Config!$B$8,IF(C27&gt;=Config!$B$2,Config!$C$8,Config!$B$8))</f>
        <v/>
      </c>
      <c r="V27" s="78">
        <f>IF(C27="",Config!$B$9,IF(C27&gt;=Config!$B$2,Config!$C$9,Config!$B$9))</f>
        <v/>
      </c>
    </row>
    <row r="28" ht="60" customHeight="1" s="55">
      <c r="A28" s="72">
        <f>IF(D28="","",ROW()-4)</f>
        <v/>
      </c>
      <c r="B28" s="73" t="n"/>
      <c r="C28" s="73" t="n"/>
      <c r="D28" s="74" t="n"/>
      <c r="E28" s="74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2">
        <f>IF(D28="","",SUM(F28:N28))</f>
        <v/>
      </c>
      <c r="P28" s="76">
        <f>IF(D28="","",(F28+G28+H28)*T28+I28*U28+(J28+K28+L28+M28+N28)*V28)</f>
        <v/>
      </c>
      <c r="Q28" s="74" t="n"/>
      <c r="R28" s="77">
        <f>IF(OR(D28="",O28=0),"","🥮 *NUESTRO ALFAJOR*"&amp;CHAR(10)&amp;"Remito N° "&amp;A28&amp;CHAR(10)&amp;"Fecha entrega: "&amp;TEXT(C28,"DD/MM/YYYY")&amp;CHAR(10)&amp;"Cliente: "&amp;D28&amp;IF(E28&lt;&gt;"",", "&amp;E28,"")&amp;CHAR(10)&amp;"................................."&amp;CHAR(10)&amp;IF(F28&gt;0,"Alfajor Maicena x7: "&amp;F28&amp;" pack. x $"&amp;TEXT($T28,"#,##0")&amp;" = $"&amp;TEXT(F28*$T28,"#,##0")&amp;CHAR(10),"")&amp;IF(G28&gt;0,"Alfajor Frutal x7: "&amp;G28&amp;" pack. x $"&amp;TEXT($T28,"#,##0")&amp;" = $"&amp;TEXT(G28*$T28,"#,##0")&amp;CHAR(10),"")&amp;IF(H28&gt;0,"Alfajor Santafesino x7: "&amp;H28&amp;" pack. x $"&amp;TEXT($T28,"#,##0")&amp;" = $"&amp;TEXT(H28*$T28,"#,##0")&amp;CHAR(10),"")&amp;IF(I28&gt;0,"Alfajor Maicena x14: "&amp;I28&amp;" pack. x $"&amp;TEXT($U28,"#,##0")&amp;" = $"&amp;TEXT(I28*$U28,"#,##0")&amp;CHAR(10),"")&amp;IF(J28&gt;0,"Pepas DDL: "&amp;J28&amp;" band. x $"&amp;TEXT($V28,"#,##0")&amp;" = $"&amp;TEXT(J28*$V28,"#,##0")&amp;CHAR(10),"")&amp;IF(K28&gt;0,"Pepas Membrillo: "&amp;K28&amp;" band. x $"&amp;TEXT($V28,"#,##0")&amp;" = $"&amp;TEXT(K28*$V28,"#,##0")&amp;CHAR(10),"")&amp;IF(L28&gt;0,"Pepas Arándano: "&amp;L28&amp;" band. x $"&amp;TEXT($V28,"#,##0")&amp;" = $"&amp;TEXT(L28*$V28,"#,##0")&amp;CHAR(10),"")&amp;IF(M28&gt;0,"Pepas Batata: "&amp;M28&amp;" band. x $"&amp;TEXT($V28,"#,##0")&amp;" = $"&amp;TEXT(M28*$V28,"#,##0")&amp;CHAR(10),"")&amp;IF(N28&gt;0,"Pepas Frutos del Bosque: "&amp;N28&amp;" band. x $"&amp;TEXT($V28,"#,##0")&amp;" = $"&amp;TEXT(N28*$V28,"#,##0")&amp;CHAR(10),"")&amp;"................................."&amp;CHAR(10)&amp;"*TOTAL: $"&amp;TEXT(P28,"#,##0")&amp;"*"&amp;CHAR(10)&amp;CHAR(10)&amp;"¡Gracias por tu pedido! 🙏")</f>
        <v/>
      </c>
      <c r="T28" s="78">
        <f>IF(C28="",Config!$B$5,IF(C28&gt;=Config!$B$2,Config!$C$5,Config!$B$5))</f>
        <v/>
      </c>
      <c r="U28" s="78">
        <f>IF(C28="",Config!$B$8,IF(C28&gt;=Config!$B$2,Config!$C$8,Config!$B$8))</f>
        <v/>
      </c>
      <c r="V28" s="78">
        <f>IF(C28="",Config!$B$9,IF(C28&gt;=Config!$B$2,Config!$C$9,Config!$B$9))</f>
        <v/>
      </c>
    </row>
    <row r="29" ht="60" customHeight="1" s="55">
      <c r="A29" s="72">
        <f>IF(D29="","",ROW()-4)</f>
        <v/>
      </c>
      <c r="B29" s="73" t="n"/>
      <c r="C29" s="73" t="n"/>
      <c r="D29" s="74" t="n"/>
      <c r="E29" s="74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2">
        <f>IF(D29="","",SUM(F29:N29))</f>
        <v/>
      </c>
      <c r="P29" s="76">
        <f>IF(D29="","",(F29+G29+H29)*T29+I29*U29+(J29+K29+L29+M29+N29)*V29)</f>
        <v/>
      </c>
      <c r="Q29" s="74" t="n"/>
      <c r="R29" s="77">
        <f>IF(OR(D29="",O29=0),"","🥮 *NUESTRO ALFAJOR*"&amp;CHAR(10)&amp;"Remito N° "&amp;A29&amp;CHAR(10)&amp;"Fecha entrega: "&amp;TEXT(C29,"DD/MM/YYYY")&amp;CHAR(10)&amp;"Cliente: "&amp;D29&amp;IF(E29&lt;&gt;"",", "&amp;E29,"")&amp;CHAR(10)&amp;"................................."&amp;CHAR(10)&amp;IF(F29&gt;0,"Alfajor Maicena x7: "&amp;F29&amp;" pack. x $"&amp;TEXT($T29,"#,##0")&amp;" = $"&amp;TEXT(F29*$T29,"#,##0")&amp;CHAR(10),"")&amp;IF(G29&gt;0,"Alfajor Frutal x7: "&amp;G29&amp;" pack. x $"&amp;TEXT($T29,"#,##0")&amp;" = $"&amp;TEXT(G29*$T29,"#,##0")&amp;CHAR(10),"")&amp;IF(H29&gt;0,"Alfajor Santafesino x7: "&amp;H29&amp;" pack. x $"&amp;TEXT($T29,"#,##0")&amp;" = $"&amp;TEXT(H29*$T29,"#,##0")&amp;CHAR(10),"")&amp;IF(I29&gt;0,"Alfajor Maicena x14: "&amp;I29&amp;" pack. x $"&amp;TEXT($U29,"#,##0")&amp;" = $"&amp;TEXT(I29*$U29,"#,##0")&amp;CHAR(10),"")&amp;IF(J29&gt;0,"Pepas DDL: "&amp;J29&amp;" band. x $"&amp;TEXT($V29,"#,##0")&amp;" = $"&amp;TEXT(J29*$V29,"#,##0")&amp;CHAR(10),"")&amp;IF(K29&gt;0,"Pepas Membrillo: "&amp;K29&amp;" band. x $"&amp;TEXT($V29,"#,##0")&amp;" = $"&amp;TEXT(K29*$V29,"#,##0")&amp;CHAR(10),"")&amp;IF(L29&gt;0,"Pepas Arándano: "&amp;L29&amp;" band. x $"&amp;TEXT($V29,"#,##0")&amp;" = $"&amp;TEXT(L29*$V29,"#,##0")&amp;CHAR(10),"")&amp;IF(M29&gt;0,"Pepas Batata: "&amp;M29&amp;" band. x $"&amp;TEXT($V29,"#,##0")&amp;" = $"&amp;TEXT(M29*$V29,"#,##0")&amp;CHAR(10),"")&amp;IF(N29&gt;0,"Pepas Frutos del Bosque: "&amp;N29&amp;" band. x $"&amp;TEXT($V29,"#,##0")&amp;" = $"&amp;TEXT(N29*$V29,"#,##0")&amp;CHAR(10),"")&amp;"................................."&amp;CHAR(10)&amp;"*TOTAL: $"&amp;TEXT(P29,"#,##0")&amp;"*"&amp;CHAR(10)&amp;CHAR(10)&amp;"¡Gracias por tu pedido! 🙏")</f>
        <v/>
      </c>
      <c r="T29" s="78">
        <f>IF(C29="",Config!$B$5,IF(C29&gt;=Config!$B$2,Config!$C$5,Config!$B$5))</f>
        <v/>
      </c>
      <c r="U29" s="78">
        <f>IF(C29="",Config!$B$8,IF(C29&gt;=Config!$B$2,Config!$C$8,Config!$B$8))</f>
        <v/>
      </c>
      <c r="V29" s="78">
        <f>IF(C29="",Config!$B$9,IF(C29&gt;=Config!$B$2,Config!$C$9,Config!$B$9))</f>
        <v/>
      </c>
    </row>
    <row r="30" ht="60" customHeight="1" s="55">
      <c r="A30" s="72">
        <f>IF(D30="","",ROW()-4)</f>
        <v/>
      </c>
      <c r="B30" s="73" t="n"/>
      <c r="C30" s="73" t="n"/>
      <c r="D30" s="74" t="n"/>
      <c r="E30" s="74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2">
        <f>IF(D30="","",SUM(F30:N30))</f>
        <v/>
      </c>
      <c r="P30" s="76">
        <f>IF(D30="","",(F30+G30+H30)*T30+I30*U30+(J30+K30+L30+M30+N30)*V30)</f>
        <v/>
      </c>
      <c r="Q30" s="74" t="n"/>
      <c r="R30" s="77">
        <f>IF(OR(D30="",O30=0),"","🥮 *NUESTRO ALFAJOR*"&amp;CHAR(10)&amp;"Remito N° "&amp;A30&amp;CHAR(10)&amp;"Fecha entrega: "&amp;TEXT(C30,"DD/MM/YYYY")&amp;CHAR(10)&amp;"Cliente: "&amp;D30&amp;IF(E30&lt;&gt;"",", "&amp;E30,"")&amp;CHAR(10)&amp;"................................."&amp;CHAR(10)&amp;IF(F30&gt;0,"Alfajor Maicena x7: "&amp;F30&amp;" pack. x $"&amp;TEXT($T30,"#,##0")&amp;" = $"&amp;TEXT(F30*$T30,"#,##0")&amp;CHAR(10),"")&amp;IF(G30&gt;0,"Alfajor Frutal x7: "&amp;G30&amp;" pack. x $"&amp;TEXT($T30,"#,##0")&amp;" = $"&amp;TEXT(G30*$T30,"#,##0")&amp;CHAR(10),"")&amp;IF(H30&gt;0,"Alfajor Santafesino x7: "&amp;H30&amp;" pack. x $"&amp;TEXT($T30,"#,##0")&amp;" = $"&amp;TEXT(H30*$T30,"#,##0")&amp;CHAR(10),"")&amp;IF(I30&gt;0,"Alfajor Maicena x14: "&amp;I30&amp;" pack. x $"&amp;TEXT($U30,"#,##0")&amp;" = $"&amp;TEXT(I30*$U30,"#,##0")&amp;CHAR(10),"")&amp;IF(J30&gt;0,"Pepas DDL: "&amp;J30&amp;" band. x $"&amp;TEXT($V30,"#,##0")&amp;" = $"&amp;TEXT(J30*$V30,"#,##0")&amp;CHAR(10),"")&amp;IF(K30&gt;0,"Pepas Membrillo: "&amp;K30&amp;" band. x $"&amp;TEXT($V30,"#,##0")&amp;" = $"&amp;TEXT(K30*$V30,"#,##0")&amp;CHAR(10),"")&amp;IF(L30&gt;0,"Pepas Arándano: "&amp;L30&amp;" band. x $"&amp;TEXT($V30,"#,##0")&amp;" = $"&amp;TEXT(L30*$V30,"#,##0")&amp;CHAR(10),"")&amp;IF(M30&gt;0,"Pepas Batata: "&amp;M30&amp;" band. x $"&amp;TEXT($V30,"#,##0")&amp;" = $"&amp;TEXT(M30*$V30,"#,##0")&amp;CHAR(10),"")&amp;IF(N30&gt;0,"Pepas Frutos del Bosque: "&amp;N30&amp;" band. x $"&amp;TEXT($V30,"#,##0")&amp;" = $"&amp;TEXT(N30*$V30,"#,##0")&amp;CHAR(10),"")&amp;"................................."&amp;CHAR(10)&amp;"*TOTAL: $"&amp;TEXT(P30,"#,##0")&amp;"*"&amp;CHAR(10)&amp;CHAR(10)&amp;"¡Gracias por tu pedido! 🙏")</f>
        <v/>
      </c>
      <c r="T30" s="78">
        <f>IF(C30="",Config!$B$5,IF(C30&gt;=Config!$B$2,Config!$C$5,Config!$B$5))</f>
        <v/>
      </c>
      <c r="U30" s="78">
        <f>IF(C30="",Config!$B$8,IF(C30&gt;=Config!$B$2,Config!$C$8,Config!$B$8))</f>
        <v/>
      </c>
      <c r="V30" s="78">
        <f>IF(C30="",Config!$B$9,IF(C30&gt;=Config!$B$2,Config!$C$9,Config!$B$9))</f>
        <v/>
      </c>
    </row>
    <row r="31" ht="60" customHeight="1" s="55">
      <c r="A31" s="72">
        <f>IF(D31="","",ROW()-4)</f>
        <v/>
      </c>
      <c r="B31" s="73" t="n"/>
      <c r="C31" s="73" t="n"/>
      <c r="D31" s="74" t="n"/>
      <c r="E31" s="74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2">
        <f>IF(D31="","",SUM(F31:N31))</f>
        <v/>
      </c>
      <c r="P31" s="76">
        <f>IF(D31="","",(F31+G31+H31)*T31+I31*U31+(J31+K31+L31+M31+N31)*V31)</f>
        <v/>
      </c>
      <c r="Q31" s="74" t="n"/>
      <c r="R31" s="77">
        <f>IF(OR(D31="",O31=0),"","🥮 *NUESTRO ALFAJOR*"&amp;CHAR(10)&amp;"Remito N° "&amp;A31&amp;CHAR(10)&amp;"Fecha entrega: "&amp;TEXT(C31,"DD/MM/YYYY")&amp;CHAR(10)&amp;"Cliente: "&amp;D31&amp;IF(E31&lt;&gt;"",", "&amp;E31,"")&amp;CHAR(10)&amp;"................................."&amp;CHAR(10)&amp;IF(F31&gt;0,"Alfajor Maicena x7: "&amp;F31&amp;" pack. x $"&amp;TEXT($T31,"#,##0")&amp;" = $"&amp;TEXT(F31*$T31,"#,##0")&amp;CHAR(10),"")&amp;IF(G31&gt;0,"Alfajor Frutal x7: "&amp;G31&amp;" pack. x $"&amp;TEXT($T31,"#,##0")&amp;" = $"&amp;TEXT(G31*$T31,"#,##0")&amp;CHAR(10),"")&amp;IF(H31&gt;0,"Alfajor Santafesino x7: "&amp;H31&amp;" pack. x $"&amp;TEXT($T31,"#,##0")&amp;" = $"&amp;TEXT(H31*$T31,"#,##0")&amp;CHAR(10),"")&amp;IF(I31&gt;0,"Alfajor Maicena x14: "&amp;I31&amp;" pack. x $"&amp;TEXT($U31,"#,##0")&amp;" = $"&amp;TEXT(I31*$U31,"#,##0")&amp;CHAR(10),"")&amp;IF(J31&gt;0,"Pepas DDL: "&amp;J31&amp;" band. x $"&amp;TEXT($V31,"#,##0")&amp;" = $"&amp;TEXT(J31*$V31,"#,##0")&amp;CHAR(10),"")&amp;IF(K31&gt;0,"Pepas Membrillo: "&amp;K31&amp;" band. x $"&amp;TEXT($V31,"#,##0")&amp;" = $"&amp;TEXT(K31*$V31,"#,##0")&amp;CHAR(10),"")&amp;IF(L31&gt;0,"Pepas Arándano: "&amp;L31&amp;" band. x $"&amp;TEXT($V31,"#,##0")&amp;" = $"&amp;TEXT(L31*$V31,"#,##0")&amp;CHAR(10),"")&amp;IF(M31&gt;0,"Pepas Batata: "&amp;M31&amp;" band. x $"&amp;TEXT($V31,"#,##0")&amp;" = $"&amp;TEXT(M31*$V31,"#,##0")&amp;CHAR(10),"")&amp;IF(N31&gt;0,"Pepas Frutos del Bosque: "&amp;N31&amp;" band. x $"&amp;TEXT($V31,"#,##0")&amp;" = $"&amp;TEXT(N31*$V31,"#,##0")&amp;CHAR(10),"")&amp;"................................."&amp;CHAR(10)&amp;"*TOTAL: $"&amp;TEXT(P31,"#,##0")&amp;"*"&amp;CHAR(10)&amp;CHAR(10)&amp;"¡Gracias por tu pedido! 🙏")</f>
        <v/>
      </c>
      <c r="T31" s="78">
        <f>IF(C31="",Config!$B$5,IF(C31&gt;=Config!$B$2,Config!$C$5,Config!$B$5))</f>
        <v/>
      </c>
      <c r="U31" s="78">
        <f>IF(C31="",Config!$B$8,IF(C31&gt;=Config!$B$2,Config!$C$8,Config!$B$8))</f>
        <v/>
      </c>
      <c r="V31" s="78">
        <f>IF(C31="",Config!$B$9,IF(C31&gt;=Config!$B$2,Config!$C$9,Config!$B$9))</f>
        <v/>
      </c>
    </row>
    <row r="32" ht="60" customHeight="1" s="55">
      <c r="A32" s="72">
        <f>IF(D32="","",ROW()-4)</f>
        <v/>
      </c>
      <c r="B32" s="73" t="n"/>
      <c r="C32" s="73" t="n"/>
      <c r="D32" s="74" t="n"/>
      <c r="E32" s="74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2">
        <f>IF(D32="","",SUM(F32:N32))</f>
        <v/>
      </c>
      <c r="P32" s="76">
        <f>IF(D32="","",(F32+G32+H32)*T32+I32*U32+(J32+K32+L32+M32+N32)*V32)</f>
        <v/>
      </c>
      <c r="Q32" s="74" t="n"/>
      <c r="R32" s="77">
        <f>IF(OR(D32="",O32=0),"","🥮 *NUESTRO ALFAJOR*"&amp;CHAR(10)&amp;"Remito N° "&amp;A32&amp;CHAR(10)&amp;"Fecha entrega: "&amp;TEXT(C32,"DD/MM/YYYY")&amp;CHAR(10)&amp;"Cliente: "&amp;D32&amp;IF(E32&lt;&gt;"",", "&amp;E32,"")&amp;CHAR(10)&amp;"................................."&amp;CHAR(10)&amp;IF(F32&gt;0,"Alfajor Maicena x7: "&amp;F32&amp;" pack. x $"&amp;TEXT($T32,"#,##0")&amp;" = $"&amp;TEXT(F32*$T32,"#,##0")&amp;CHAR(10),"")&amp;IF(G32&gt;0,"Alfajor Frutal x7: "&amp;G32&amp;" pack. x $"&amp;TEXT($T32,"#,##0")&amp;" = $"&amp;TEXT(G32*$T32,"#,##0")&amp;CHAR(10),"")&amp;IF(H32&gt;0,"Alfajor Santafesino x7: "&amp;H32&amp;" pack. x $"&amp;TEXT($T32,"#,##0")&amp;" = $"&amp;TEXT(H32*$T32,"#,##0")&amp;CHAR(10),"")&amp;IF(I32&gt;0,"Alfajor Maicena x14: "&amp;I32&amp;" pack. x $"&amp;TEXT($U32,"#,##0")&amp;" = $"&amp;TEXT(I32*$U32,"#,##0")&amp;CHAR(10),"")&amp;IF(J32&gt;0,"Pepas DDL: "&amp;J32&amp;" band. x $"&amp;TEXT($V32,"#,##0")&amp;" = $"&amp;TEXT(J32*$V32,"#,##0")&amp;CHAR(10),"")&amp;IF(K32&gt;0,"Pepas Membrillo: "&amp;K32&amp;" band. x $"&amp;TEXT($V32,"#,##0")&amp;" = $"&amp;TEXT(K32*$V32,"#,##0")&amp;CHAR(10),"")&amp;IF(L32&gt;0,"Pepas Arándano: "&amp;L32&amp;" band. x $"&amp;TEXT($V32,"#,##0")&amp;" = $"&amp;TEXT(L32*$V32,"#,##0")&amp;CHAR(10),"")&amp;IF(M32&gt;0,"Pepas Batata: "&amp;M32&amp;" band. x $"&amp;TEXT($V32,"#,##0")&amp;" = $"&amp;TEXT(M32*$V32,"#,##0")&amp;CHAR(10),"")&amp;IF(N32&gt;0,"Pepas Frutos del Bosque: "&amp;N32&amp;" band. x $"&amp;TEXT($V32,"#,##0")&amp;" = $"&amp;TEXT(N32*$V32,"#,##0")&amp;CHAR(10),"")&amp;"................................."&amp;CHAR(10)&amp;"*TOTAL: $"&amp;TEXT(P32,"#,##0")&amp;"*"&amp;CHAR(10)&amp;CHAR(10)&amp;"¡Gracias por tu pedido! 🙏")</f>
        <v/>
      </c>
      <c r="T32" s="78">
        <f>IF(C32="",Config!$B$5,IF(C32&gt;=Config!$B$2,Config!$C$5,Config!$B$5))</f>
        <v/>
      </c>
      <c r="U32" s="78">
        <f>IF(C32="",Config!$B$8,IF(C32&gt;=Config!$B$2,Config!$C$8,Config!$B$8))</f>
        <v/>
      </c>
      <c r="V32" s="78">
        <f>IF(C32="",Config!$B$9,IF(C32&gt;=Config!$B$2,Config!$C$9,Config!$B$9))</f>
        <v/>
      </c>
    </row>
    <row r="33" ht="60" customHeight="1" s="55">
      <c r="A33" s="72">
        <f>IF(D33="","",ROW()-4)</f>
        <v/>
      </c>
      <c r="B33" s="73" t="n"/>
      <c r="C33" s="73" t="n"/>
      <c r="D33" s="74" t="n"/>
      <c r="E33" s="74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2">
        <f>IF(D33="","",SUM(F33:N33))</f>
        <v/>
      </c>
      <c r="P33" s="76">
        <f>IF(D33="","",(F33+G33+H33)*T33+I33*U33+(J33+K33+L33+M33+N33)*V33)</f>
        <v/>
      </c>
      <c r="Q33" s="74" t="n"/>
      <c r="R33" s="77">
        <f>IF(OR(D33="",O33=0),"","🥮 *NUESTRO ALFAJOR*"&amp;CHAR(10)&amp;"Remito N° "&amp;A33&amp;CHAR(10)&amp;"Fecha entrega: "&amp;TEXT(C33,"DD/MM/YYYY")&amp;CHAR(10)&amp;"Cliente: "&amp;D33&amp;IF(E33&lt;&gt;"",", "&amp;E33,"")&amp;CHAR(10)&amp;"................................."&amp;CHAR(10)&amp;IF(F33&gt;0,"Alfajor Maicena x7: "&amp;F33&amp;" pack. x $"&amp;TEXT($T33,"#,##0")&amp;" = $"&amp;TEXT(F33*$T33,"#,##0")&amp;CHAR(10),"")&amp;IF(G33&gt;0,"Alfajor Frutal x7: "&amp;G33&amp;" pack. x $"&amp;TEXT($T33,"#,##0")&amp;" = $"&amp;TEXT(G33*$T33,"#,##0")&amp;CHAR(10),"")&amp;IF(H33&gt;0,"Alfajor Santafesino x7: "&amp;H33&amp;" pack. x $"&amp;TEXT($T33,"#,##0")&amp;" = $"&amp;TEXT(H33*$T33,"#,##0")&amp;CHAR(10),"")&amp;IF(I33&gt;0,"Alfajor Maicena x14: "&amp;I33&amp;" pack. x $"&amp;TEXT($U33,"#,##0")&amp;" = $"&amp;TEXT(I33*$U33,"#,##0")&amp;CHAR(10),"")&amp;IF(J33&gt;0,"Pepas DDL: "&amp;J33&amp;" band. x $"&amp;TEXT($V33,"#,##0")&amp;" = $"&amp;TEXT(J33*$V33,"#,##0")&amp;CHAR(10),"")&amp;IF(K33&gt;0,"Pepas Membrillo: "&amp;K33&amp;" band. x $"&amp;TEXT($V33,"#,##0")&amp;" = $"&amp;TEXT(K33*$V33,"#,##0")&amp;CHAR(10),"")&amp;IF(L33&gt;0,"Pepas Arándano: "&amp;L33&amp;" band. x $"&amp;TEXT($V33,"#,##0")&amp;" = $"&amp;TEXT(L33*$V33,"#,##0")&amp;CHAR(10),"")&amp;IF(M33&gt;0,"Pepas Batata: "&amp;M33&amp;" band. x $"&amp;TEXT($V33,"#,##0")&amp;" = $"&amp;TEXT(M33*$V33,"#,##0")&amp;CHAR(10),"")&amp;IF(N33&gt;0,"Pepas Frutos del Bosque: "&amp;N33&amp;" band. x $"&amp;TEXT($V33,"#,##0")&amp;" = $"&amp;TEXT(N33*$V33,"#,##0")&amp;CHAR(10),"")&amp;"................................."&amp;CHAR(10)&amp;"*TOTAL: $"&amp;TEXT(P33,"#,##0")&amp;"*"&amp;CHAR(10)&amp;CHAR(10)&amp;"¡Gracias por tu pedido! 🙏")</f>
        <v/>
      </c>
      <c r="T33" s="78">
        <f>IF(C33="",Config!$B$5,IF(C33&gt;=Config!$B$2,Config!$C$5,Config!$B$5))</f>
        <v/>
      </c>
      <c r="U33" s="78">
        <f>IF(C33="",Config!$B$8,IF(C33&gt;=Config!$B$2,Config!$C$8,Config!$B$8))</f>
        <v/>
      </c>
      <c r="V33" s="78">
        <f>IF(C33="",Config!$B$9,IF(C33&gt;=Config!$B$2,Config!$C$9,Config!$B$9))</f>
        <v/>
      </c>
    </row>
    <row r="34" ht="60" customHeight="1" s="55">
      <c r="A34" s="72">
        <f>IF(D34="","",ROW()-4)</f>
        <v/>
      </c>
      <c r="B34" s="73" t="n"/>
      <c r="C34" s="73" t="n"/>
      <c r="D34" s="74" t="n"/>
      <c r="E34" s="74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2">
        <f>IF(D34="","",SUM(F34:N34))</f>
        <v/>
      </c>
      <c r="P34" s="76">
        <f>IF(D34="","",(F34+G34+H34)*T34+I34*U34+(J34+K34+L34+M34+N34)*V34)</f>
        <v/>
      </c>
      <c r="Q34" s="74" t="n"/>
      <c r="R34" s="77">
        <f>IF(OR(D34="",O34=0),"","🥮 *NUESTRO ALFAJOR*"&amp;CHAR(10)&amp;"Remito N° "&amp;A34&amp;CHAR(10)&amp;"Fecha entrega: "&amp;TEXT(C34,"DD/MM/YYYY")&amp;CHAR(10)&amp;"Cliente: "&amp;D34&amp;IF(E34&lt;&gt;"",", "&amp;E34,"")&amp;CHAR(10)&amp;"................................."&amp;CHAR(10)&amp;IF(F34&gt;0,"Alfajor Maicena x7: "&amp;F34&amp;" pack. x $"&amp;TEXT($T34,"#,##0")&amp;" = $"&amp;TEXT(F34*$T34,"#,##0")&amp;CHAR(10),"")&amp;IF(G34&gt;0,"Alfajor Frutal x7: "&amp;G34&amp;" pack. x $"&amp;TEXT($T34,"#,##0")&amp;" = $"&amp;TEXT(G34*$T34,"#,##0")&amp;CHAR(10),"")&amp;IF(H34&gt;0,"Alfajor Santafesino x7: "&amp;H34&amp;" pack. x $"&amp;TEXT($T34,"#,##0")&amp;" = $"&amp;TEXT(H34*$T34,"#,##0")&amp;CHAR(10),"")&amp;IF(I34&gt;0,"Alfajor Maicena x14: "&amp;I34&amp;" pack. x $"&amp;TEXT($U34,"#,##0")&amp;" = $"&amp;TEXT(I34*$U34,"#,##0")&amp;CHAR(10),"")&amp;IF(J34&gt;0,"Pepas DDL: "&amp;J34&amp;" band. x $"&amp;TEXT($V34,"#,##0")&amp;" = $"&amp;TEXT(J34*$V34,"#,##0")&amp;CHAR(10),"")&amp;IF(K34&gt;0,"Pepas Membrillo: "&amp;K34&amp;" band. x $"&amp;TEXT($V34,"#,##0")&amp;" = $"&amp;TEXT(K34*$V34,"#,##0")&amp;CHAR(10),"")&amp;IF(L34&gt;0,"Pepas Arándano: "&amp;L34&amp;" band. x $"&amp;TEXT($V34,"#,##0")&amp;" = $"&amp;TEXT(L34*$V34,"#,##0")&amp;CHAR(10),"")&amp;IF(M34&gt;0,"Pepas Batata: "&amp;M34&amp;" band. x $"&amp;TEXT($V34,"#,##0")&amp;" = $"&amp;TEXT(M34*$V34,"#,##0")&amp;CHAR(10),"")&amp;IF(N34&gt;0,"Pepas Frutos del Bosque: "&amp;N34&amp;" band. x $"&amp;TEXT($V34,"#,##0")&amp;" = $"&amp;TEXT(N34*$V34,"#,##0")&amp;CHAR(10),"")&amp;"................................."&amp;CHAR(10)&amp;"*TOTAL: $"&amp;TEXT(P34,"#,##0")&amp;"*"&amp;CHAR(10)&amp;CHAR(10)&amp;"¡Gracias por tu pedido! 🙏")</f>
        <v/>
      </c>
      <c r="T34" s="78">
        <f>IF(C34="",Config!$B$5,IF(C34&gt;=Config!$B$2,Config!$C$5,Config!$B$5))</f>
        <v/>
      </c>
      <c r="U34" s="78">
        <f>IF(C34="",Config!$B$8,IF(C34&gt;=Config!$B$2,Config!$C$8,Config!$B$8))</f>
        <v/>
      </c>
      <c r="V34" s="78">
        <f>IF(C34="",Config!$B$9,IF(C34&gt;=Config!$B$2,Config!$C$9,Config!$B$9))</f>
        <v/>
      </c>
    </row>
    <row r="35" ht="60" customHeight="1" s="55">
      <c r="A35" s="72">
        <f>IF(D35="","",ROW()-4)</f>
        <v/>
      </c>
      <c r="B35" s="73" t="n"/>
      <c r="C35" s="73" t="n"/>
      <c r="D35" s="74" t="n"/>
      <c r="E35" s="74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2">
        <f>IF(D35="","",SUM(F35:N35))</f>
        <v/>
      </c>
      <c r="P35" s="76">
        <f>IF(D35="","",(F35+G35+H35)*T35+I35*U35+(J35+K35+L35+M35+N35)*V35)</f>
        <v/>
      </c>
      <c r="Q35" s="74" t="n"/>
      <c r="R35" s="77">
        <f>IF(OR(D35="",O35=0),"","🥮 *NUESTRO ALFAJOR*"&amp;CHAR(10)&amp;"Remito N° "&amp;A35&amp;CHAR(10)&amp;"Fecha entrega: "&amp;TEXT(C35,"DD/MM/YYYY")&amp;CHAR(10)&amp;"Cliente: "&amp;D35&amp;IF(E35&lt;&gt;"",", "&amp;E35,"")&amp;CHAR(10)&amp;"................................."&amp;CHAR(10)&amp;IF(F35&gt;0,"Alfajor Maicena x7: "&amp;F35&amp;" pack. x $"&amp;TEXT($T35,"#,##0")&amp;" = $"&amp;TEXT(F35*$T35,"#,##0")&amp;CHAR(10),"")&amp;IF(G35&gt;0,"Alfajor Frutal x7: "&amp;G35&amp;" pack. x $"&amp;TEXT($T35,"#,##0")&amp;" = $"&amp;TEXT(G35*$T35,"#,##0")&amp;CHAR(10),"")&amp;IF(H35&gt;0,"Alfajor Santafesino x7: "&amp;H35&amp;" pack. x $"&amp;TEXT($T35,"#,##0")&amp;" = $"&amp;TEXT(H35*$T35,"#,##0")&amp;CHAR(10),"")&amp;IF(I35&gt;0,"Alfajor Maicena x14: "&amp;I35&amp;" pack. x $"&amp;TEXT($U35,"#,##0")&amp;" = $"&amp;TEXT(I35*$U35,"#,##0")&amp;CHAR(10),"")&amp;IF(J35&gt;0,"Pepas DDL: "&amp;J35&amp;" band. x $"&amp;TEXT($V35,"#,##0")&amp;" = $"&amp;TEXT(J35*$V35,"#,##0")&amp;CHAR(10),"")&amp;IF(K35&gt;0,"Pepas Membrillo: "&amp;K35&amp;" band. x $"&amp;TEXT($V35,"#,##0")&amp;" = $"&amp;TEXT(K35*$V35,"#,##0")&amp;CHAR(10),"")&amp;IF(L35&gt;0,"Pepas Arándano: "&amp;L35&amp;" band. x $"&amp;TEXT($V35,"#,##0")&amp;" = $"&amp;TEXT(L35*$V35,"#,##0")&amp;CHAR(10),"")&amp;IF(M35&gt;0,"Pepas Batata: "&amp;M35&amp;" band. x $"&amp;TEXT($V35,"#,##0")&amp;" = $"&amp;TEXT(M35*$V35,"#,##0")&amp;CHAR(10),"")&amp;IF(N35&gt;0,"Pepas Frutos del Bosque: "&amp;N35&amp;" band. x $"&amp;TEXT($V35,"#,##0")&amp;" = $"&amp;TEXT(N35*$V35,"#,##0")&amp;CHAR(10),"")&amp;"................................."&amp;CHAR(10)&amp;"*TOTAL: $"&amp;TEXT(P35,"#,##0")&amp;"*"&amp;CHAR(10)&amp;CHAR(10)&amp;"¡Gracias por tu pedido! 🙏")</f>
        <v/>
      </c>
      <c r="T35" s="78">
        <f>IF(C35="",Config!$B$5,IF(C35&gt;=Config!$B$2,Config!$C$5,Config!$B$5))</f>
        <v/>
      </c>
      <c r="U35" s="78">
        <f>IF(C35="",Config!$B$8,IF(C35&gt;=Config!$B$2,Config!$C$8,Config!$B$8))</f>
        <v/>
      </c>
      <c r="V35" s="78">
        <f>IF(C35="",Config!$B$9,IF(C35&gt;=Config!$B$2,Config!$C$9,Config!$B$9))</f>
        <v/>
      </c>
    </row>
    <row r="36" ht="60" customHeight="1" s="55">
      <c r="A36" s="72">
        <f>IF(D36="","",ROW()-4)</f>
        <v/>
      </c>
      <c r="B36" s="73" t="n"/>
      <c r="C36" s="73" t="n"/>
      <c r="D36" s="74" t="n"/>
      <c r="E36" s="74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2">
        <f>IF(D36="","",SUM(F36:N36))</f>
        <v/>
      </c>
      <c r="P36" s="76">
        <f>IF(D36="","",(F36+G36+H36)*T36+I36*U36+(J36+K36+L36+M36+N36)*V36)</f>
        <v/>
      </c>
      <c r="Q36" s="74" t="n"/>
      <c r="R36" s="77">
        <f>IF(OR(D36="",O36=0),"","🥮 *NUESTRO ALFAJOR*"&amp;CHAR(10)&amp;"Remito N° "&amp;A36&amp;CHAR(10)&amp;"Fecha entrega: "&amp;TEXT(C36,"DD/MM/YYYY")&amp;CHAR(10)&amp;"Cliente: "&amp;D36&amp;IF(E36&lt;&gt;"",", "&amp;E36,"")&amp;CHAR(10)&amp;"................................."&amp;CHAR(10)&amp;IF(F36&gt;0,"Alfajor Maicena x7: "&amp;F36&amp;" pack. x $"&amp;TEXT($T36,"#,##0")&amp;" = $"&amp;TEXT(F36*$T36,"#,##0")&amp;CHAR(10),"")&amp;IF(G36&gt;0,"Alfajor Frutal x7: "&amp;G36&amp;" pack. x $"&amp;TEXT($T36,"#,##0")&amp;" = $"&amp;TEXT(G36*$T36,"#,##0")&amp;CHAR(10),"")&amp;IF(H36&gt;0,"Alfajor Santafesino x7: "&amp;H36&amp;" pack. x $"&amp;TEXT($T36,"#,##0")&amp;" = $"&amp;TEXT(H36*$T36,"#,##0")&amp;CHAR(10),"")&amp;IF(I36&gt;0,"Alfajor Maicena x14: "&amp;I36&amp;" pack. x $"&amp;TEXT($U36,"#,##0")&amp;" = $"&amp;TEXT(I36*$U36,"#,##0")&amp;CHAR(10),"")&amp;IF(J36&gt;0,"Pepas DDL: "&amp;J36&amp;" band. x $"&amp;TEXT($V36,"#,##0")&amp;" = $"&amp;TEXT(J36*$V36,"#,##0")&amp;CHAR(10),"")&amp;IF(K36&gt;0,"Pepas Membrillo: "&amp;K36&amp;" band. x $"&amp;TEXT($V36,"#,##0")&amp;" = $"&amp;TEXT(K36*$V36,"#,##0")&amp;CHAR(10),"")&amp;IF(L36&gt;0,"Pepas Arándano: "&amp;L36&amp;" band. x $"&amp;TEXT($V36,"#,##0")&amp;" = $"&amp;TEXT(L36*$V36,"#,##0")&amp;CHAR(10),"")&amp;IF(M36&gt;0,"Pepas Batata: "&amp;M36&amp;" band. x $"&amp;TEXT($V36,"#,##0")&amp;" = $"&amp;TEXT(M36*$V36,"#,##0")&amp;CHAR(10),"")&amp;IF(N36&gt;0,"Pepas Frutos del Bosque: "&amp;N36&amp;" band. x $"&amp;TEXT($V36,"#,##0")&amp;" = $"&amp;TEXT(N36*$V36,"#,##0")&amp;CHAR(10),"")&amp;"................................."&amp;CHAR(10)&amp;"*TOTAL: $"&amp;TEXT(P36,"#,##0")&amp;"*"&amp;CHAR(10)&amp;CHAR(10)&amp;"¡Gracias por tu pedido! 🙏")</f>
        <v/>
      </c>
      <c r="T36" s="78">
        <f>IF(C36="",Config!$B$5,IF(C36&gt;=Config!$B$2,Config!$C$5,Config!$B$5))</f>
        <v/>
      </c>
      <c r="U36" s="78">
        <f>IF(C36="",Config!$B$8,IF(C36&gt;=Config!$B$2,Config!$C$8,Config!$B$8))</f>
        <v/>
      </c>
      <c r="V36" s="78">
        <f>IF(C36="",Config!$B$9,IF(C36&gt;=Config!$B$2,Config!$C$9,Config!$B$9))</f>
        <v/>
      </c>
    </row>
    <row r="37" ht="60" customHeight="1" s="55">
      <c r="A37" s="72">
        <f>IF(D37="","",ROW()-4)</f>
        <v/>
      </c>
      <c r="B37" s="73" t="n"/>
      <c r="C37" s="73" t="n"/>
      <c r="D37" s="74" t="n"/>
      <c r="E37" s="74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2">
        <f>IF(D37="","",SUM(F37:N37))</f>
        <v/>
      </c>
      <c r="P37" s="76">
        <f>IF(D37="","",(F37+G37+H37)*T37+I37*U37+(J37+K37+L37+M37+N37)*V37)</f>
        <v/>
      </c>
      <c r="Q37" s="74" t="n"/>
      <c r="R37" s="77">
        <f>IF(OR(D37="",O37=0),"","🥮 *NUESTRO ALFAJOR*"&amp;CHAR(10)&amp;"Remito N° "&amp;A37&amp;CHAR(10)&amp;"Fecha entrega: "&amp;TEXT(C37,"DD/MM/YYYY")&amp;CHAR(10)&amp;"Cliente: "&amp;D37&amp;IF(E37&lt;&gt;"",", "&amp;E37,"")&amp;CHAR(10)&amp;"................................."&amp;CHAR(10)&amp;IF(F37&gt;0,"Alfajor Maicena x7: "&amp;F37&amp;" pack. x $"&amp;TEXT($T37,"#,##0")&amp;" = $"&amp;TEXT(F37*$T37,"#,##0")&amp;CHAR(10),"")&amp;IF(G37&gt;0,"Alfajor Frutal x7: "&amp;G37&amp;" pack. x $"&amp;TEXT($T37,"#,##0")&amp;" = $"&amp;TEXT(G37*$T37,"#,##0")&amp;CHAR(10),"")&amp;IF(H37&gt;0,"Alfajor Santafesino x7: "&amp;H37&amp;" pack. x $"&amp;TEXT($T37,"#,##0")&amp;" = $"&amp;TEXT(H37*$T37,"#,##0")&amp;CHAR(10),"")&amp;IF(I37&gt;0,"Alfajor Maicena x14: "&amp;I37&amp;" pack. x $"&amp;TEXT($U37,"#,##0")&amp;" = $"&amp;TEXT(I37*$U37,"#,##0")&amp;CHAR(10),"")&amp;IF(J37&gt;0,"Pepas DDL: "&amp;J37&amp;" band. x $"&amp;TEXT($V37,"#,##0")&amp;" = $"&amp;TEXT(J37*$V37,"#,##0")&amp;CHAR(10),"")&amp;IF(K37&gt;0,"Pepas Membrillo: "&amp;K37&amp;" band. x $"&amp;TEXT($V37,"#,##0")&amp;" = $"&amp;TEXT(K37*$V37,"#,##0")&amp;CHAR(10),"")&amp;IF(L37&gt;0,"Pepas Arándano: "&amp;L37&amp;" band. x $"&amp;TEXT($V37,"#,##0")&amp;" = $"&amp;TEXT(L37*$V37,"#,##0")&amp;CHAR(10),"")&amp;IF(M37&gt;0,"Pepas Batata: "&amp;M37&amp;" band. x $"&amp;TEXT($V37,"#,##0")&amp;" = $"&amp;TEXT(M37*$V37,"#,##0")&amp;CHAR(10),"")&amp;IF(N37&gt;0,"Pepas Frutos del Bosque: "&amp;N37&amp;" band. x $"&amp;TEXT($V37,"#,##0")&amp;" = $"&amp;TEXT(N37*$V37,"#,##0")&amp;CHAR(10),"")&amp;"................................."&amp;CHAR(10)&amp;"*TOTAL: $"&amp;TEXT(P37,"#,##0")&amp;"*"&amp;CHAR(10)&amp;CHAR(10)&amp;"¡Gracias por tu pedido! 🙏")</f>
        <v/>
      </c>
      <c r="T37" s="78">
        <f>IF(C37="",Config!$B$5,IF(C37&gt;=Config!$B$2,Config!$C$5,Config!$B$5))</f>
        <v/>
      </c>
      <c r="U37" s="78">
        <f>IF(C37="",Config!$B$8,IF(C37&gt;=Config!$B$2,Config!$C$8,Config!$B$8))</f>
        <v/>
      </c>
      <c r="V37" s="78">
        <f>IF(C37="",Config!$B$9,IF(C37&gt;=Config!$B$2,Config!$C$9,Config!$B$9))</f>
        <v/>
      </c>
    </row>
    <row r="38" ht="60" customHeight="1" s="55">
      <c r="A38" s="72">
        <f>IF(D38="","",ROW()-4)</f>
        <v/>
      </c>
      <c r="B38" s="73" t="n"/>
      <c r="C38" s="73" t="n"/>
      <c r="D38" s="74" t="n"/>
      <c r="E38" s="74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2">
        <f>IF(D38="","",SUM(F38:N38))</f>
        <v/>
      </c>
      <c r="P38" s="76">
        <f>IF(D38="","",(F38+G38+H38)*T38+I38*U38+(J38+K38+L38+M38+N38)*V38)</f>
        <v/>
      </c>
      <c r="Q38" s="74" t="n"/>
      <c r="R38" s="77">
        <f>IF(OR(D38="",O38=0),"","🥮 *NUESTRO ALFAJOR*"&amp;CHAR(10)&amp;"Remito N° "&amp;A38&amp;CHAR(10)&amp;"Fecha entrega: "&amp;TEXT(C38,"DD/MM/YYYY")&amp;CHAR(10)&amp;"Cliente: "&amp;D38&amp;IF(E38&lt;&gt;"",", "&amp;E38,"")&amp;CHAR(10)&amp;"................................."&amp;CHAR(10)&amp;IF(F38&gt;0,"Alfajor Maicena x7: "&amp;F38&amp;" pack. x $"&amp;TEXT($T38,"#,##0")&amp;" = $"&amp;TEXT(F38*$T38,"#,##0")&amp;CHAR(10),"")&amp;IF(G38&gt;0,"Alfajor Frutal x7: "&amp;G38&amp;" pack. x $"&amp;TEXT($T38,"#,##0")&amp;" = $"&amp;TEXT(G38*$T38,"#,##0")&amp;CHAR(10),"")&amp;IF(H38&gt;0,"Alfajor Santafesino x7: "&amp;H38&amp;" pack. x $"&amp;TEXT($T38,"#,##0")&amp;" = $"&amp;TEXT(H38*$T38,"#,##0")&amp;CHAR(10),"")&amp;IF(I38&gt;0,"Alfajor Maicena x14: "&amp;I38&amp;" pack. x $"&amp;TEXT($U38,"#,##0")&amp;" = $"&amp;TEXT(I38*$U38,"#,##0")&amp;CHAR(10),"")&amp;IF(J38&gt;0,"Pepas DDL: "&amp;J38&amp;" band. x $"&amp;TEXT($V38,"#,##0")&amp;" = $"&amp;TEXT(J38*$V38,"#,##0")&amp;CHAR(10),"")&amp;IF(K38&gt;0,"Pepas Membrillo: "&amp;K38&amp;" band. x $"&amp;TEXT($V38,"#,##0")&amp;" = $"&amp;TEXT(K38*$V38,"#,##0")&amp;CHAR(10),"")&amp;IF(L38&gt;0,"Pepas Arándano: "&amp;L38&amp;" band. x $"&amp;TEXT($V38,"#,##0")&amp;" = $"&amp;TEXT(L38*$V38,"#,##0")&amp;CHAR(10),"")&amp;IF(M38&gt;0,"Pepas Batata: "&amp;M38&amp;" band. x $"&amp;TEXT($V38,"#,##0")&amp;" = $"&amp;TEXT(M38*$V38,"#,##0")&amp;CHAR(10),"")&amp;IF(N38&gt;0,"Pepas Frutos del Bosque: "&amp;N38&amp;" band. x $"&amp;TEXT($V38,"#,##0")&amp;" = $"&amp;TEXT(N38*$V38,"#,##0")&amp;CHAR(10),"")&amp;"................................."&amp;CHAR(10)&amp;"*TOTAL: $"&amp;TEXT(P38,"#,##0")&amp;"*"&amp;CHAR(10)&amp;CHAR(10)&amp;"¡Gracias por tu pedido! 🙏")</f>
        <v/>
      </c>
      <c r="T38" s="78">
        <f>IF(C38="",Config!$B$5,IF(C38&gt;=Config!$B$2,Config!$C$5,Config!$B$5))</f>
        <v/>
      </c>
      <c r="U38" s="78">
        <f>IF(C38="",Config!$B$8,IF(C38&gt;=Config!$B$2,Config!$C$8,Config!$B$8))</f>
        <v/>
      </c>
      <c r="V38" s="78">
        <f>IF(C38="",Config!$B$9,IF(C38&gt;=Config!$B$2,Config!$C$9,Config!$B$9))</f>
        <v/>
      </c>
    </row>
    <row r="39" ht="60" customHeight="1" s="55">
      <c r="A39" s="72">
        <f>IF(D39="","",ROW()-4)</f>
        <v/>
      </c>
      <c r="B39" s="73" t="n"/>
      <c r="C39" s="73" t="n"/>
      <c r="D39" s="74" t="n"/>
      <c r="E39" s="74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2">
        <f>IF(D39="","",SUM(F39:N39))</f>
        <v/>
      </c>
      <c r="P39" s="76">
        <f>IF(D39="","",(F39+G39+H39)*T39+I39*U39+(J39+K39+L39+M39+N39)*V39)</f>
        <v/>
      </c>
      <c r="Q39" s="74" t="n"/>
      <c r="R39" s="77">
        <f>IF(OR(D39="",O39=0),"","🥮 *NUESTRO ALFAJOR*"&amp;CHAR(10)&amp;"Remito N° "&amp;A39&amp;CHAR(10)&amp;"Fecha entrega: "&amp;TEXT(C39,"DD/MM/YYYY")&amp;CHAR(10)&amp;"Cliente: "&amp;D39&amp;IF(E39&lt;&gt;"",", "&amp;E39,"")&amp;CHAR(10)&amp;"................................."&amp;CHAR(10)&amp;IF(F39&gt;0,"Alfajor Maicena x7: "&amp;F39&amp;" pack. x $"&amp;TEXT($T39,"#,##0")&amp;" = $"&amp;TEXT(F39*$T39,"#,##0")&amp;CHAR(10),"")&amp;IF(G39&gt;0,"Alfajor Frutal x7: "&amp;G39&amp;" pack. x $"&amp;TEXT($T39,"#,##0")&amp;" = $"&amp;TEXT(G39*$T39,"#,##0")&amp;CHAR(10),"")&amp;IF(H39&gt;0,"Alfajor Santafesino x7: "&amp;H39&amp;" pack. x $"&amp;TEXT($T39,"#,##0")&amp;" = $"&amp;TEXT(H39*$T39,"#,##0")&amp;CHAR(10),"")&amp;IF(I39&gt;0,"Alfajor Maicena x14: "&amp;I39&amp;" pack. x $"&amp;TEXT($U39,"#,##0")&amp;" = $"&amp;TEXT(I39*$U39,"#,##0")&amp;CHAR(10),"")&amp;IF(J39&gt;0,"Pepas DDL: "&amp;J39&amp;" band. x $"&amp;TEXT($V39,"#,##0")&amp;" = $"&amp;TEXT(J39*$V39,"#,##0")&amp;CHAR(10),"")&amp;IF(K39&gt;0,"Pepas Membrillo: "&amp;K39&amp;" band. x $"&amp;TEXT($V39,"#,##0")&amp;" = $"&amp;TEXT(K39*$V39,"#,##0")&amp;CHAR(10),"")&amp;IF(L39&gt;0,"Pepas Arándano: "&amp;L39&amp;" band. x $"&amp;TEXT($V39,"#,##0")&amp;" = $"&amp;TEXT(L39*$V39,"#,##0")&amp;CHAR(10),"")&amp;IF(M39&gt;0,"Pepas Batata: "&amp;M39&amp;" band. x $"&amp;TEXT($V39,"#,##0")&amp;" = $"&amp;TEXT(M39*$V39,"#,##0")&amp;CHAR(10),"")&amp;IF(N39&gt;0,"Pepas Frutos del Bosque: "&amp;N39&amp;" band. x $"&amp;TEXT($V39,"#,##0")&amp;" = $"&amp;TEXT(N39*$V39,"#,##0")&amp;CHAR(10),"")&amp;"................................."&amp;CHAR(10)&amp;"*TOTAL: $"&amp;TEXT(P39,"#,##0")&amp;"*"&amp;CHAR(10)&amp;CHAR(10)&amp;"¡Gracias por tu pedido! 🙏")</f>
        <v/>
      </c>
      <c r="T39" s="78">
        <f>IF(C39="",Config!$B$5,IF(C39&gt;=Config!$B$2,Config!$C$5,Config!$B$5))</f>
        <v/>
      </c>
      <c r="U39" s="78">
        <f>IF(C39="",Config!$B$8,IF(C39&gt;=Config!$B$2,Config!$C$8,Config!$B$8))</f>
        <v/>
      </c>
      <c r="V39" s="78">
        <f>IF(C39="",Config!$B$9,IF(C39&gt;=Config!$B$2,Config!$C$9,Config!$B$9))</f>
        <v/>
      </c>
    </row>
    <row r="40" ht="60" customHeight="1" s="55">
      <c r="A40" s="72">
        <f>IF(D40="","",ROW()-4)</f>
        <v/>
      </c>
      <c r="B40" s="73" t="n"/>
      <c r="C40" s="73" t="n"/>
      <c r="D40" s="74" t="n"/>
      <c r="E40" s="74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2">
        <f>IF(D40="","",SUM(F40:N40))</f>
        <v/>
      </c>
      <c r="P40" s="76">
        <f>IF(D40="","",(F40+G40+H40)*T40+I40*U40+(J40+K40+L40+M40+N40)*V40)</f>
        <v/>
      </c>
      <c r="Q40" s="74" t="n"/>
      <c r="R40" s="77">
        <f>IF(OR(D40="",O40=0),"","🥮 *NUESTRO ALFAJOR*"&amp;CHAR(10)&amp;"Remito N° "&amp;A40&amp;CHAR(10)&amp;"Fecha entrega: "&amp;TEXT(C40,"DD/MM/YYYY")&amp;CHAR(10)&amp;"Cliente: "&amp;D40&amp;IF(E40&lt;&gt;"",", "&amp;E40,"")&amp;CHAR(10)&amp;"................................."&amp;CHAR(10)&amp;IF(F40&gt;0,"Alfajor Maicena x7: "&amp;F40&amp;" pack. x $"&amp;TEXT($T40,"#,##0")&amp;" = $"&amp;TEXT(F40*$T40,"#,##0")&amp;CHAR(10),"")&amp;IF(G40&gt;0,"Alfajor Frutal x7: "&amp;G40&amp;" pack. x $"&amp;TEXT($T40,"#,##0")&amp;" = $"&amp;TEXT(G40*$T40,"#,##0")&amp;CHAR(10),"")&amp;IF(H40&gt;0,"Alfajor Santafesino x7: "&amp;H40&amp;" pack. x $"&amp;TEXT($T40,"#,##0")&amp;" = $"&amp;TEXT(H40*$T40,"#,##0")&amp;CHAR(10),"")&amp;IF(I40&gt;0,"Alfajor Maicena x14: "&amp;I40&amp;" pack. x $"&amp;TEXT($U40,"#,##0")&amp;" = $"&amp;TEXT(I40*$U40,"#,##0")&amp;CHAR(10),"")&amp;IF(J40&gt;0,"Pepas DDL: "&amp;J40&amp;" band. x $"&amp;TEXT($V40,"#,##0")&amp;" = $"&amp;TEXT(J40*$V40,"#,##0")&amp;CHAR(10),"")&amp;IF(K40&gt;0,"Pepas Membrillo: "&amp;K40&amp;" band. x $"&amp;TEXT($V40,"#,##0")&amp;" = $"&amp;TEXT(K40*$V40,"#,##0")&amp;CHAR(10),"")&amp;IF(L40&gt;0,"Pepas Arándano: "&amp;L40&amp;" band. x $"&amp;TEXT($V40,"#,##0")&amp;" = $"&amp;TEXT(L40*$V40,"#,##0")&amp;CHAR(10),"")&amp;IF(M40&gt;0,"Pepas Batata: "&amp;M40&amp;" band. x $"&amp;TEXT($V40,"#,##0")&amp;" = $"&amp;TEXT(M40*$V40,"#,##0")&amp;CHAR(10),"")&amp;IF(N40&gt;0,"Pepas Frutos del Bosque: "&amp;N40&amp;" band. x $"&amp;TEXT($V40,"#,##0")&amp;" = $"&amp;TEXT(N40*$V40,"#,##0")&amp;CHAR(10),"")&amp;"................................."&amp;CHAR(10)&amp;"*TOTAL: $"&amp;TEXT(P40,"#,##0")&amp;"*"&amp;CHAR(10)&amp;CHAR(10)&amp;"¡Gracias por tu pedido! 🙏")</f>
        <v/>
      </c>
      <c r="T40" s="78">
        <f>IF(C40="",Config!$B$5,IF(C40&gt;=Config!$B$2,Config!$C$5,Config!$B$5))</f>
        <v/>
      </c>
      <c r="U40" s="78">
        <f>IF(C40="",Config!$B$8,IF(C40&gt;=Config!$B$2,Config!$C$8,Config!$B$8))</f>
        <v/>
      </c>
      <c r="V40" s="78">
        <f>IF(C40="",Config!$B$9,IF(C40&gt;=Config!$B$2,Config!$C$9,Config!$B$9))</f>
        <v/>
      </c>
    </row>
    <row r="41" ht="60" customHeight="1" s="55">
      <c r="A41" s="72">
        <f>IF(D41="","",ROW()-4)</f>
        <v/>
      </c>
      <c r="B41" s="73" t="n"/>
      <c r="C41" s="73" t="n"/>
      <c r="D41" s="74" t="n"/>
      <c r="E41" s="74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2">
        <f>IF(D41="","",SUM(F41:N41))</f>
        <v/>
      </c>
      <c r="P41" s="76">
        <f>IF(D41="","",(F41+G41+H41)*T41+I41*U41+(J41+K41+L41+M41+N41)*V41)</f>
        <v/>
      </c>
      <c r="Q41" s="74" t="n"/>
      <c r="R41" s="77">
        <f>IF(OR(D41="",O41=0),"","🥮 *NUESTRO ALFAJOR*"&amp;CHAR(10)&amp;"Remito N° "&amp;A41&amp;CHAR(10)&amp;"Fecha entrega: "&amp;TEXT(C41,"DD/MM/YYYY")&amp;CHAR(10)&amp;"Cliente: "&amp;D41&amp;IF(E41&lt;&gt;"",", "&amp;E41,"")&amp;CHAR(10)&amp;"................................."&amp;CHAR(10)&amp;IF(F41&gt;0,"Alfajor Maicena x7: "&amp;F41&amp;" pack. x $"&amp;TEXT($T41,"#,##0")&amp;" = $"&amp;TEXT(F41*$T41,"#,##0")&amp;CHAR(10),"")&amp;IF(G41&gt;0,"Alfajor Frutal x7: "&amp;G41&amp;" pack. x $"&amp;TEXT($T41,"#,##0")&amp;" = $"&amp;TEXT(G41*$T41,"#,##0")&amp;CHAR(10),"")&amp;IF(H41&gt;0,"Alfajor Santafesino x7: "&amp;H41&amp;" pack. x $"&amp;TEXT($T41,"#,##0")&amp;" = $"&amp;TEXT(H41*$T41,"#,##0")&amp;CHAR(10),"")&amp;IF(I41&gt;0,"Alfajor Maicena x14: "&amp;I41&amp;" pack. x $"&amp;TEXT($U41,"#,##0")&amp;" = $"&amp;TEXT(I41*$U41,"#,##0")&amp;CHAR(10),"")&amp;IF(J41&gt;0,"Pepas DDL: "&amp;J41&amp;" band. x $"&amp;TEXT($V41,"#,##0")&amp;" = $"&amp;TEXT(J41*$V41,"#,##0")&amp;CHAR(10),"")&amp;IF(K41&gt;0,"Pepas Membrillo: "&amp;K41&amp;" band. x $"&amp;TEXT($V41,"#,##0")&amp;" = $"&amp;TEXT(K41*$V41,"#,##0")&amp;CHAR(10),"")&amp;IF(L41&gt;0,"Pepas Arándano: "&amp;L41&amp;" band. x $"&amp;TEXT($V41,"#,##0")&amp;" = $"&amp;TEXT(L41*$V41,"#,##0")&amp;CHAR(10),"")&amp;IF(M41&gt;0,"Pepas Batata: "&amp;M41&amp;" band. x $"&amp;TEXT($V41,"#,##0")&amp;" = $"&amp;TEXT(M41*$V41,"#,##0")&amp;CHAR(10),"")&amp;IF(N41&gt;0,"Pepas Frutos del Bosque: "&amp;N41&amp;" band. x $"&amp;TEXT($V41,"#,##0")&amp;" = $"&amp;TEXT(N41*$V41,"#,##0")&amp;CHAR(10),"")&amp;"................................."&amp;CHAR(10)&amp;"*TOTAL: $"&amp;TEXT(P41,"#,##0")&amp;"*"&amp;CHAR(10)&amp;CHAR(10)&amp;"¡Gracias por tu pedido! 🙏")</f>
        <v/>
      </c>
      <c r="T41" s="78">
        <f>IF(C41="",Config!$B$5,IF(C41&gt;=Config!$B$2,Config!$C$5,Config!$B$5))</f>
        <v/>
      </c>
      <c r="U41" s="78">
        <f>IF(C41="",Config!$B$8,IF(C41&gt;=Config!$B$2,Config!$C$8,Config!$B$8))</f>
        <v/>
      </c>
      <c r="V41" s="78">
        <f>IF(C41="",Config!$B$9,IF(C41&gt;=Config!$B$2,Config!$C$9,Config!$B$9))</f>
        <v/>
      </c>
    </row>
    <row r="42" ht="60" customHeight="1" s="55">
      <c r="A42" s="72">
        <f>IF(D42="","",ROW()-4)</f>
        <v/>
      </c>
      <c r="B42" s="73" t="n"/>
      <c r="C42" s="73" t="n"/>
      <c r="D42" s="74" t="n"/>
      <c r="E42" s="74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2">
        <f>IF(D42="","",SUM(F42:N42))</f>
        <v/>
      </c>
      <c r="P42" s="76">
        <f>IF(D42="","",(F42+G42+H42)*T42+I42*U42+(J42+K42+L42+M42+N42)*V42)</f>
        <v/>
      </c>
      <c r="Q42" s="74" t="n"/>
      <c r="R42" s="77">
        <f>IF(OR(D42="",O42=0),"","🥮 *NUESTRO ALFAJOR*"&amp;CHAR(10)&amp;"Remito N° "&amp;A42&amp;CHAR(10)&amp;"Fecha entrega: "&amp;TEXT(C42,"DD/MM/YYYY")&amp;CHAR(10)&amp;"Cliente: "&amp;D42&amp;IF(E42&lt;&gt;"",", "&amp;E42,"")&amp;CHAR(10)&amp;"................................."&amp;CHAR(10)&amp;IF(F42&gt;0,"Alfajor Maicena x7: "&amp;F42&amp;" pack. x $"&amp;TEXT($T42,"#,##0")&amp;" = $"&amp;TEXT(F42*$T42,"#,##0")&amp;CHAR(10),"")&amp;IF(G42&gt;0,"Alfajor Frutal x7: "&amp;G42&amp;" pack. x $"&amp;TEXT($T42,"#,##0")&amp;" = $"&amp;TEXT(G42*$T42,"#,##0")&amp;CHAR(10),"")&amp;IF(H42&gt;0,"Alfajor Santafesino x7: "&amp;H42&amp;" pack. x $"&amp;TEXT($T42,"#,##0")&amp;" = $"&amp;TEXT(H42*$T42,"#,##0")&amp;CHAR(10),"")&amp;IF(I42&gt;0,"Alfajor Maicena x14: "&amp;I42&amp;" pack. x $"&amp;TEXT($U42,"#,##0")&amp;" = $"&amp;TEXT(I42*$U42,"#,##0")&amp;CHAR(10),"")&amp;IF(J42&gt;0,"Pepas DDL: "&amp;J42&amp;" band. x $"&amp;TEXT($V42,"#,##0")&amp;" = $"&amp;TEXT(J42*$V42,"#,##0")&amp;CHAR(10),"")&amp;IF(K42&gt;0,"Pepas Membrillo: "&amp;K42&amp;" band. x $"&amp;TEXT($V42,"#,##0")&amp;" = $"&amp;TEXT(K42*$V42,"#,##0")&amp;CHAR(10),"")&amp;IF(L42&gt;0,"Pepas Arándano: "&amp;L42&amp;" band. x $"&amp;TEXT($V42,"#,##0")&amp;" = $"&amp;TEXT(L42*$V42,"#,##0")&amp;CHAR(10),"")&amp;IF(M42&gt;0,"Pepas Batata: "&amp;M42&amp;" band. x $"&amp;TEXT($V42,"#,##0")&amp;" = $"&amp;TEXT(M42*$V42,"#,##0")&amp;CHAR(10),"")&amp;IF(N42&gt;0,"Pepas Frutos del Bosque: "&amp;N42&amp;" band. x $"&amp;TEXT($V42,"#,##0")&amp;" = $"&amp;TEXT(N42*$V42,"#,##0")&amp;CHAR(10),"")&amp;"................................."&amp;CHAR(10)&amp;"*TOTAL: $"&amp;TEXT(P42,"#,##0")&amp;"*"&amp;CHAR(10)&amp;CHAR(10)&amp;"¡Gracias por tu pedido! 🙏")</f>
        <v/>
      </c>
      <c r="T42" s="78">
        <f>IF(C42="",Config!$B$5,IF(C42&gt;=Config!$B$2,Config!$C$5,Config!$B$5))</f>
        <v/>
      </c>
      <c r="U42" s="78">
        <f>IF(C42="",Config!$B$8,IF(C42&gt;=Config!$B$2,Config!$C$8,Config!$B$8))</f>
        <v/>
      </c>
      <c r="V42" s="78">
        <f>IF(C42="",Config!$B$9,IF(C42&gt;=Config!$B$2,Config!$C$9,Config!$B$9))</f>
        <v/>
      </c>
    </row>
    <row r="43" ht="60" customHeight="1" s="55">
      <c r="A43" s="72">
        <f>IF(D43="","",ROW()-4)</f>
        <v/>
      </c>
      <c r="B43" s="73" t="n"/>
      <c r="C43" s="73" t="n"/>
      <c r="D43" s="74" t="n"/>
      <c r="E43" s="74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2">
        <f>IF(D43="","",SUM(F43:N43))</f>
        <v/>
      </c>
      <c r="P43" s="76">
        <f>IF(D43="","",(F43+G43+H43)*T43+I43*U43+(J43+K43+L43+M43+N43)*V43)</f>
        <v/>
      </c>
      <c r="Q43" s="74" t="n"/>
      <c r="R43" s="77">
        <f>IF(OR(D43="",O43=0),"","🥮 *NUESTRO ALFAJOR*"&amp;CHAR(10)&amp;"Remito N° "&amp;A43&amp;CHAR(10)&amp;"Fecha entrega: "&amp;TEXT(C43,"DD/MM/YYYY")&amp;CHAR(10)&amp;"Cliente: "&amp;D43&amp;IF(E43&lt;&gt;"",", "&amp;E43,"")&amp;CHAR(10)&amp;"................................."&amp;CHAR(10)&amp;IF(F43&gt;0,"Alfajor Maicena x7: "&amp;F43&amp;" pack. x $"&amp;TEXT($T43,"#,##0")&amp;" = $"&amp;TEXT(F43*$T43,"#,##0")&amp;CHAR(10),"")&amp;IF(G43&gt;0,"Alfajor Frutal x7: "&amp;G43&amp;" pack. x $"&amp;TEXT($T43,"#,##0")&amp;" = $"&amp;TEXT(G43*$T43,"#,##0")&amp;CHAR(10),"")&amp;IF(H43&gt;0,"Alfajor Santafesino x7: "&amp;H43&amp;" pack. x $"&amp;TEXT($T43,"#,##0")&amp;" = $"&amp;TEXT(H43*$T43,"#,##0")&amp;CHAR(10),"")&amp;IF(I43&gt;0,"Alfajor Maicena x14: "&amp;I43&amp;" pack. x $"&amp;TEXT($U43,"#,##0")&amp;" = $"&amp;TEXT(I43*$U43,"#,##0")&amp;CHAR(10),"")&amp;IF(J43&gt;0,"Pepas DDL: "&amp;J43&amp;" band. x $"&amp;TEXT($V43,"#,##0")&amp;" = $"&amp;TEXT(J43*$V43,"#,##0")&amp;CHAR(10),"")&amp;IF(K43&gt;0,"Pepas Membrillo: "&amp;K43&amp;" band. x $"&amp;TEXT($V43,"#,##0")&amp;" = $"&amp;TEXT(K43*$V43,"#,##0")&amp;CHAR(10),"")&amp;IF(L43&gt;0,"Pepas Arándano: "&amp;L43&amp;" band. x $"&amp;TEXT($V43,"#,##0")&amp;" = $"&amp;TEXT(L43*$V43,"#,##0")&amp;CHAR(10),"")&amp;IF(M43&gt;0,"Pepas Batata: "&amp;M43&amp;" band. x $"&amp;TEXT($V43,"#,##0")&amp;" = $"&amp;TEXT(M43*$V43,"#,##0")&amp;CHAR(10),"")&amp;IF(N43&gt;0,"Pepas Frutos del Bosque: "&amp;N43&amp;" band. x $"&amp;TEXT($V43,"#,##0")&amp;" = $"&amp;TEXT(N43*$V43,"#,##0")&amp;CHAR(10),"")&amp;"................................."&amp;CHAR(10)&amp;"*TOTAL: $"&amp;TEXT(P43,"#,##0")&amp;"*"&amp;CHAR(10)&amp;CHAR(10)&amp;"¡Gracias por tu pedido! 🙏")</f>
        <v/>
      </c>
      <c r="T43" s="78">
        <f>IF(C43="",Config!$B$5,IF(C43&gt;=Config!$B$2,Config!$C$5,Config!$B$5))</f>
        <v/>
      </c>
      <c r="U43" s="78">
        <f>IF(C43="",Config!$B$8,IF(C43&gt;=Config!$B$2,Config!$C$8,Config!$B$8))</f>
        <v/>
      </c>
      <c r="V43" s="78">
        <f>IF(C43="",Config!$B$9,IF(C43&gt;=Config!$B$2,Config!$C$9,Config!$B$9))</f>
        <v/>
      </c>
    </row>
    <row r="44" ht="60" customHeight="1" s="55">
      <c r="A44" s="72">
        <f>IF(D44="","",ROW()-4)</f>
        <v/>
      </c>
      <c r="B44" s="73" t="n"/>
      <c r="C44" s="73" t="n"/>
      <c r="D44" s="74" t="n"/>
      <c r="E44" s="74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2">
        <f>IF(D44="","",SUM(F44:N44))</f>
        <v/>
      </c>
      <c r="P44" s="76">
        <f>IF(D44="","",(F44+G44+H44)*T44+I44*U44+(J44+K44+L44+M44+N44)*V44)</f>
        <v/>
      </c>
      <c r="Q44" s="74" t="n"/>
      <c r="R44" s="77">
        <f>IF(OR(D44="",O44=0),"","🥮 *NUESTRO ALFAJOR*"&amp;CHAR(10)&amp;"Remito N° "&amp;A44&amp;CHAR(10)&amp;"Fecha entrega: "&amp;TEXT(C44,"DD/MM/YYYY")&amp;CHAR(10)&amp;"Cliente: "&amp;D44&amp;IF(E44&lt;&gt;"",", "&amp;E44,"")&amp;CHAR(10)&amp;"................................."&amp;CHAR(10)&amp;IF(F44&gt;0,"Alfajor Maicena x7: "&amp;F44&amp;" pack. x $"&amp;TEXT($T44,"#,##0")&amp;" = $"&amp;TEXT(F44*$T44,"#,##0")&amp;CHAR(10),"")&amp;IF(G44&gt;0,"Alfajor Frutal x7: "&amp;G44&amp;" pack. x $"&amp;TEXT($T44,"#,##0")&amp;" = $"&amp;TEXT(G44*$T44,"#,##0")&amp;CHAR(10),"")&amp;IF(H44&gt;0,"Alfajor Santafesino x7: "&amp;H44&amp;" pack. x $"&amp;TEXT($T44,"#,##0")&amp;" = $"&amp;TEXT(H44*$T44,"#,##0")&amp;CHAR(10),"")&amp;IF(I44&gt;0,"Alfajor Maicena x14: "&amp;I44&amp;" pack. x $"&amp;TEXT($U44,"#,##0")&amp;" = $"&amp;TEXT(I44*$U44,"#,##0")&amp;CHAR(10),"")&amp;IF(J44&gt;0,"Pepas DDL: "&amp;J44&amp;" band. x $"&amp;TEXT($V44,"#,##0")&amp;" = $"&amp;TEXT(J44*$V44,"#,##0")&amp;CHAR(10),"")&amp;IF(K44&gt;0,"Pepas Membrillo: "&amp;K44&amp;" band. x $"&amp;TEXT($V44,"#,##0")&amp;" = $"&amp;TEXT(K44*$V44,"#,##0")&amp;CHAR(10),"")&amp;IF(L44&gt;0,"Pepas Arándano: "&amp;L44&amp;" band. x $"&amp;TEXT($V44,"#,##0")&amp;" = $"&amp;TEXT(L44*$V44,"#,##0")&amp;CHAR(10),"")&amp;IF(M44&gt;0,"Pepas Batata: "&amp;M44&amp;" band. x $"&amp;TEXT($V44,"#,##0")&amp;" = $"&amp;TEXT(M44*$V44,"#,##0")&amp;CHAR(10),"")&amp;IF(N44&gt;0,"Pepas Frutos del Bosque: "&amp;N44&amp;" band. x $"&amp;TEXT($V44,"#,##0")&amp;" = $"&amp;TEXT(N44*$V44,"#,##0")&amp;CHAR(10),"")&amp;"................................."&amp;CHAR(10)&amp;"*TOTAL: $"&amp;TEXT(P44,"#,##0")&amp;"*"&amp;CHAR(10)&amp;CHAR(10)&amp;"¡Gracias por tu pedido! 🙏")</f>
        <v/>
      </c>
      <c r="T44" s="78">
        <f>IF(C44="",Config!$B$5,IF(C44&gt;=Config!$B$2,Config!$C$5,Config!$B$5))</f>
        <v/>
      </c>
      <c r="U44" s="78">
        <f>IF(C44="",Config!$B$8,IF(C44&gt;=Config!$B$2,Config!$C$8,Config!$B$8))</f>
        <v/>
      </c>
      <c r="V44" s="78">
        <f>IF(C44="",Config!$B$9,IF(C44&gt;=Config!$B$2,Config!$C$9,Config!$B$9))</f>
        <v/>
      </c>
    </row>
    <row r="45" ht="60" customHeight="1" s="55">
      <c r="A45" s="72">
        <f>IF(D45="","",ROW()-4)</f>
        <v/>
      </c>
      <c r="B45" s="73" t="n"/>
      <c r="C45" s="73" t="n"/>
      <c r="D45" s="74" t="n"/>
      <c r="E45" s="74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2">
        <f>IF(D45="","",SUM(F45:N45))</f>
        <v/>
      </c>
      <c r="P45" s="76">
        <f>IF(D45="","",(F45+G45+H45)*T45+I45*U45+(J45+K45+L45+M45+N45)*V45)</f>
        <v/>
      </c>
      <c r="Q45" s="74" t="n"/>
      <c r="R45" s="77">
        <f>IF(OR(D45="",O45=0),"","🥮 *NUESTRO ALFAJOR*"&amp;CHAR(10)&amp;"Remito N° "&amp;A45&amp;CHAR(10)&amp;"Fecha entrega: "&amp;TEXT(C45,"DD/MM/YYYY")&amp;CHAR(10)&amp;"Cliente: "&amp;D45&amp;IF(E45&lt;&gt;"",", "&amp;E45,"")&amp;CHAR(10)&amp;"................................."&amp;CHAR(10)&amp;IF(F45&gt;0,"Alfajor Maicena x7: "&amp;F45&amp;" pack. x $"&amp;TEXT($T45,"#,##0")&amp;" = $"&amp;TEXT(F45*$T45,"#,##0")&amp;CHAR(10),"")&amp;IF(G45&gt;0,"Alfajor Frutal x7: "&amp;G45&amp;" pack. x $"&amp;TEXT($T45,"#,##0")&amp;" = $"&amp;TEXT(G45*$T45,"#,##0")&amp;CHAR(10),"")&amp;IF(H45&gt;0,"Alfajor Santafesino x7: "&amp;H45&amp;" pack. x $"&amp;TEXT($T45,"#,##0")&amp;" = $"&amp;TEXT(H45*$T45,"#,##0")&amp;CHAR(10),"")&amp;IF(I45&gt;0,"Alfajor Maicena x14: "&amp;I45&amp;" pack. x $"&amp;TEXT($U45,"#,##0")&amp;" = $"&amp;TEXT(I45*$U45,"#,##0")&amp;CHAR(10),"")&amp;IF(J45&gt;0,"Pepas DDL: "&amp;J45&amp;" band. x $"&amp;TEXT($V45,"#,##0")&amp;" = $"&amp;TEXT(J45*$V45,"#,##0")&amp;CHAR(10),"")&amp;IF(K45&gt;0,"Pepas Membrillo: "&amp;K45&amp;" band. x $"&amp;TEXT($V45,"#,##0")&amp;" = $"&amp;TEXT(K45*$V45,"#,##0")&amp;CHAR(10),"")&amp;IF(L45&gt;0,"Pepas Arándano: "&amp;L45&amp;" band. x $"&amp;TEXT($V45,"#,##0")&amp;" = $"&amp;TEXT(L45*$V45,"#,##0")&amp;CHAR(10),"")&amp;IF(M45&gt;0,"Pepas Batata: "&amp;M45&amp;" band. x $"&amp;TEXT($V45,"#,##0")&amp;" = $"&amp;TEXT(M45*$V45,"#,##0")&amp;CHAR(10),"")&amp;IF(N45&gt;0,"Pepas Frutos del Bosque: "&amp;N45&amp;" band. x $"&amp;TEXT($V45,"#,##0")&amp;" = $"&amp;TEXT(N45*$V45,"#,##0")&amp;CHAR(10),"")&amp;"................................."&amp;CHAR(10)&amp;"*TOTAL: $"&amp;TEXT(P45,"#,##0")&amp;"*"&amp;CHAR(10)&amp;CHAR(10)&amp;"¡Gracias por tu pedido! 🙏")</f>
        <v/>
      </c>
      <c r="T45" s="78">
        <f>IF(C45="",Config!$B$5,IF(C45&gt;=Config!$B$2,Config!$C$5,Config!$B$5))</f>
        <v/>
      </c>
      <c r="U45" s="78">
        <f>IF(C45="",Config!$B$8,IF(C45&gt;=Config!$B$2,Config!$C$8,Config!$B$8))</f>
        <v/>
      </c>
      <c r="V45" s="78">
        <f>IF(C45="",Config!$B$9,IF(C45&gt;=Config!$B$2,Config!$C$9,Config!$B$9))</f>
        <v/>
      </c>
    </row>
    <row r="46" ht="60" customHeight="1" s="55">
      <c r="A46" s="72">
        <f>IF(D46="","",ROW()-4)</f>
        <v/>
      </c>
      <c r="B46" s="73" t="n"/>
      <c r="C46" s="73" t="n"/>
      <c r="D46" s="74" t="n"/>
      <c r="E46" s="74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2">
        <f>IF(D46="","",SUM(F46:N46))</f>
        <v/>
      </c>
      <c r="P46" s="76">
        <f>IF(D46="","",(F46+G46+H46)*T46+I46*U46+(J46+K46+L46+M46+N46)*V46)</f>
        <v/>
      </c>
      <c r="Q46" s="74" t="n"/>
      <c r="R46" s="77">
        <f>IF(OR(D46="",O46=0),"","🥮 *NUESTRO ALFAJOR*"&amp;CHAR(10)&amp;"Remito N° "&amp;A46&amp;CHAR(10)&amp;"Fecha entrega: "&amp;TEXT(C46,"DD/MM/YYYY")&amp;CHAR(10)&amp;"Cliente: "&amp;D46&amp;IF(E46&lt;&gt;"",", "&amp;E46,"")&amp;CHAR(10)&amp;"................................."&amp;CHAR(10)&amp;IF(F46&gt;0,"Alfajor Maicena x7: "&amp;F46&amp;" pack. x $"&amp;TEXT($T46,"#,##0")&amp;" = $"&amp;TEXT(F46*$T46,"#,##0")&amp;CHAR(10),"")&amp;IF(G46&gt;0,"Alfajor Frutal x7: "&amp;G46&amp;" pack. x $"&amp;TEXT($T46,"#,##0")&amp;" = $"&amp;TEXT(G46*$T46,"#,##0")&amp;CHAR(10),"")&amp;IF(H46&gt;0,"Alfajor Santafesino x7: "&amp;H46&amp;" pack. x $"&amp;TEXT($T46,"#,##0")&amp;" = $"&amp;TEXT(H46*$T46,"#,##0")&amp;CHAR(10),"")&amp;IF(I46&gt;0,"Alfajor Maicena x14: "&amp;I46&amp;" pack. x $"&amp;TEXT($U46,"#,##0")&amp;" = $"&amp;TEXT(I46*$U46,"#,##0")&amp;CHAR(10),"")&amp;IF(J46&gt;0,"Pepas DDL: "&amp;J46&amp;" band. x $"&amp;TEXT($V46,"#,##0")&amp;" = $"&amp;TEXT(J46*$V46,"#,##0")&amp;CHAR(10),"")&amp;IF(K46&gt;0,"Pepas Membrillo: "&amp;K46&amp;" band. x $"&amp;TEXT($V46,"#,##0")&amp;" = $"&amp;TEXT(K46*$V46,"#,##0")&amp;CHAR(10),"")&amp;IF(L46&gt;0,"Pepas Arándano: "&amp;L46&amp;" band. x $"&amp;TEXT($V46,"#,##0")&amp;" = $"&amp;TEXT(L46*$V46,"#,##0")&amp;CHAR(10),"")&amp;IF(M46&gt;0,"Pepas Batata: "&amp;M46&amp;" band. x $"&amp;TEXT($V46,"#,##0")&amp;" = $"&amp;TEXT(M46*$V46,"#,##0")&amp;CHAR(10),"")&amp;IF(N46&gt;0,"Pepas Frutos del Bosque: "&amp;N46&amp;" band. x $"&amp;TEXT($V46,"#,##0")&amp;" = $"&amp;TEXT(N46*$V46,"#,##0")&amp;CHAR(10),"")&amp;"................................."&amp;CHAR(10)&amp;"*TOTAL: $"&amp;TEXT(P46,"#,##0")&amp;"*"&amp;CHAR(10)&amp;CHAR(10)&amp;"¡Gracias por tu pedido! 🙏")</f>
        <v/>
      </c>
      <c r="T46" s="78">
        <f>IF(C46="",Config!$B$5,IF(C46&gt;=Config!$B$2,Config!$C$5,Config!$B$5))</f>
        <v/>
      </c>
      <c r="U46" s="78">
        <f>IF(C46="",Config!$B$8,IF(C46&gt;=Config!$B$2,Config!$C$8,Config!$B$8))</f>
        <v/>
      </c>
      <c r="V46" s="78">
        <f>IF(C46="",Config!$B$9,IF(C46&gt;=Config!$B$2,Config!$C$9,Config!$B$9))</f>
        <v/>
      </c>
    </row>
    <row r="47" ht="60" customHeight="1" s="55">
      <c r="A47" s="72">
        <f>IF(D47="","",ROW()-4)</f>
        <v/>
      </c>
      <c r="B47" s="73" t="n"/>
      <c r="C47" s="73" t="n"/>
      <c r="D47" s="74" t="n"/>
      <c r="E47" s="74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2">
        <f>IF(D47="","",SUM(F47:N47))</f>
        <v/>
      </c>
      <c r="P47" s="76">
        <f>IF(D47="","",(F47+G47+H47)*T47+I47*U47+(J47+K47+L47+M47+N47)*V47)</f>
        <v/>
      </c>
      <c r="Q47" s="74" t="n"/>
      <c r="R47" s="77">
        <f>IF(OR(D47="",O47=0),"","🥮 *NUESTRO ALFAJOR*"&amp;CHAR(10)&amp;"Remito N° "&amp;A47&amp;CHAR(10)&amp;"Fecha entrega: "&amp;TEXT(C47,"DD/MM/YYYY")&amp;CHAR(10)&amp;"Cliente: "&amp;D47&amp;IF(E47&lt;&gt;"",", "&amp;E47,"")&amp;CHAR(10)&amp;"................................."&amp;CHAR(10)&amp;IF(F47&gt;0,"Alfajor Maicena x7: "&amp;F47&amp;" pack. x $"&amp;TEXT($T47,"#,##0")&amp;" = $"&amp;TEXT(F47*$T47,"#,##0")&amp;CHAR(10),"")&amp;IF(G47&gt;0,"Alfajor Frutal x7: "&amp;G47&amp;" pack. x $"&amp;TEXT($T47,"#,##0")&amp;" = $"&amp;TEXT(G47*$T47,"#,##0")&amp;CHAR(10),"")&amp;IF(H47&gt;0,"Alfajor Santafesino x7: "&amp;H47&amp;" pack. x $"&amp;TEXT($T47,"#,##0")&amp;" = $"&amp;TEXT(H47*$T47,"#,##0")&amp;CHAR(10),"")&amp;IF(I47&gt;0,"Alfajor Maicena x14: "&amp;I47&amp;" pack. x $"&amp;TEXT($U47,"#,##0")&amp;" = $"&amp;TEXT(I47*$U47,"#,##0")&amp;CHAR(10),"")&amp;IF(J47&gt;0,"Pepas DDL: "&amp;J47&amp;" band. x $"&amp;TEXT($V47,"#,##0")&amp;" = $"&amp;TEXT(J47*$V47,"#,##0")&amp;CHAR(10),"")&amp;IF(K47&gt;0,"Pepas Membrillo: "&amp;K47&amp;" band. x $"&amp;TEXT($V47,"#,##0")&amp;" = $"&amp;TEXT(K47*$V47,"#,##0")&amp;CHAR(10),"")&amp;IF(L47&gt;0,"Pepas Arándano: "&amp;L47&amp;" band. x $"&amp;TEXT($V47,"#,##0")&amp;" = $"&amp;TEXT(L47*$V47,"#,##0")&amp;CHAR(10),"")&amp;IF(M47&gt;0,"Pepas Batata: "&amp;M47&amp;" band. x $"&amp;TEXT($V47,"#,##0")&amp;" = $"&amp;TEXT(M47*$V47,"#,##0")&amp;CHAR(10),"")&amp;IF(N47&gt;0,"Pepas Frutos del Bosque: "&amp;N47&amp;" band. x $"&amp;TEXT($V47,"#,##0")&amp;" = $"&amp;TEXT(N47*$V47,"#,##0")&amp;CHAR(10),"")&amp;"................................."&amp;CHAR(10)&amp;"*TOTAL: $"&amp;TEXT(P47,"#,##0")&amp;"*"&amp;CHAR(10)&amp;CHAR(10)&amp;"¡Gracias por tu pedido! 🙏")</f>
        <v/>
      </c>
      <c r="T47" s="78">
        <f>IF(C47="",Config!$B$5,IF(C47&gt;=Config!$B$2,Config!$C$5,Config!$B$5))</f>
        <v/>
      </c>
      <c r="U47" s="78">
        <f>IF(C47="",Config!$B$8,IF(C47&gt;=Config!$B$2,Config!$C$8,Config!$B$8))</f>
        <v/>
      </c>
      <c r="V47" s="78">
        <f>IF(C47="",Config!$B$9,IF(C47&gt;=Config!$B$2,Config!$C$9,Config!$B$9))</f>
        <v/>
      </c>
    </row>
    <row r="48" ht="60" customHeight="1" s="55">
      <c r="A48" s="72">
        <f>IF(D48="","",ROW()-4)</f>
        <v/>
      </c>
      <c r="B48" s="73" t="n"/>
      <c r="C48" s="73" t="n"/>
      <c r="D48" s="74" t="n"/>
      <c r="E48" s="74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2">
        <f>IF(D48="","",SUM(F48:N48))</f>
        <v/>
      </c>
      <c r="P48" s="76">
        <f>IF(D48="","",(F48+G48+H48)*T48+I48*U48+(J48+K48+L48+M48+N48)*V48)</f>
        <v/>
      </c>
      <c r="Q48" s="74" t="n"/>
      <c r="R48" s="77">
        <f>IF(OR(D48="",O48=0),"","🥮 *NUESTRO ALFAJOR*"&amp;CHAR(10)&amp;"Remito N° "&amp;A48&amp;CHAR(10)&amp;"Fecha entrega: "&amp;TEXT(C48,"DD/MM/YYYY")&amp;CHAR(10)&amp;"Cliente: "&amp;D48&amp;IF(E48&lt;&gt;"",", "&amp;E48,"")&amp;CHAR(10)&amp;"................................."&amp;CHAR(10)&amp;IF(F48&gt;0,"Alfajor Maicena x7: "&amp;F48&amp;" pack. x $"&amp;TEXT($T48,"#,##0")&amp;" = $"&amp;TEXT(F48*$T48,"#,##0")&amp;CHAR(10),"")&amp;IF(G48&gt;0,"Alfajor Frutal x7: "&amp;G48&amp;" pack. x $"&amp;TEXT($T48,"#,##0")&amp;" = $"&amp;TEXT(G48*$T48,"#,##0")&amp;CHAR(10),"")&amp;IF(H48&gt;0,"Alfajor Santafesino x7: "&amp;H48&amp;" pack. x $"&amp;TEXT($T48,"#,##0")&amp;" = $"&amp;TEXT(H48*$T48,"#,##0")&amp;CHAR(10),"")&amp;IF(I48&gt;0,"Alfajor Maicena x14: "&amp;I48&amp;" pack. x $"&amp;TEXT($U48,"#,##0")&amp;" = $"&amp;TEXT(I48*$U48,"#,##0")&amp;CHAR(10),"")&amp;IF(J48&gt;0,"Pepas DDL: "&amp;J48&amp;" band. x $"&amp;TEXT($V48,"#,##0")&amp;" = $"&amp;TEXT(J48*$V48,"#,##0")&amp;CHAR(10),"")&amp;IF(K48&gt;0,"Pepas Membrillo: "&amp;K48&amp;" band. x $"&amp;TEXT($V48,"#,##0")&amp;" = $"&amp;TEXT(K48*$V48,"#,##0")&amp;CHAR(10),"")&amp;IF(L48&gt;0,"Pepas Arándano: "&amp;L48&amp;" band. x $"&amp;TEXT($V48,"#,##0")&amp;" = $"&amp;TEXT(L48*$V48,"#,##0")&amp;CHAR(10),"")&amp;IF(M48&gt;0,"Pepas Batata: "&amp;M48&amp;" band. x $"&amp;TEXT($V48,"#,##0")&amp;" = $"&amp;TEXT(M48*$V48,"#,##0")&amp;CHAR(10),"")&amp;IF(N48&gt;0,"Pepas Frutos del Bosque: "&amp;N48&amp;" band. x $"&amp;TEXT($V48,"#,##0")&amp;" = $"&amp;TEXT(N48*$V48,"#,##0")&amp;CHAR(10),"")&amp;"................................."&amp;CHAR(10)&amp;"*TOTAL: $"&amp;TEXT(P48,"#,##0")&amp;"*"&amp;CHAR(10)&amp;CHAR(10)&amp;"¡Gracias por tu pedido! 🙏")</f>
        <v/>
      </c>
      <c r="T48" s="78">
        <f>IF(C48="",Config!$B$5,IF(C48&gt;=Config!$B$2,Config!$C$5,Config!$B$5))</f>
        <v/>
      </c>
      <c r="U48" s="78">
        <f>IF(C48="",Config!$B$8,IF(C48&gt;=Config!$B$2,Config!$C$8,Config!$B$8))</f>
        <v/>
      </c>
      <c r="V48" s="78">
        <f>IF(C48="",Config!$B$9,IF(C48&gt;=Config!$B$2,Config!$C$9,Config!$B$9))</f>
        <v/>
      </c>
    </row>
    <row r="49" ht="60" customHeight="1" s="55">
      <c r="A49" s="72">
        <f>IF(D49="","",ROW()-4)</f>
        <v/>
      </c>
      <c r="B49" s="73" t="n"/>
      <c r="C49" s="73" t="n"/>
      <c r="D49" s="74" t="n"/>
      <c r="E49" s="74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2">
        <f>IF(D49="","",SUM(F49:N49))</f>
        <v/>
      </c>
      <c r="P49" s="76">
        <f>IF(D49="","",(F49+G49+H49)*T49+I49*U49+(J49+K49+L49+M49+N49)*V49)</f>
        <v/>
      </c>
      <c r="Q49" s="74" t="n"/>
      <c r="R49" s="77">
        <f>IF(OR(D49="",O49=0),"","🥮 *NUESTRO ALFAJOR*"&amp;CHAR(10)&amp;"Remito N° "&amp;A49&amp;CHAR(10)&amp;"Fecha entrega: "&amp;TEXT(C49,"DD/MM/YYYY")&amp;CHAR(10)&amp;"Cliente: "&amp;D49&amp;IF(E49&lt;&gt;"",", "&amp;E49,"")&amp;CHAR(10)&amp;"................................."&amp;CHAR(10)&amp;IF(F49&gt;0,"Alfajor Maicena x7: "&amp;F49&amp;" pack. x $"&amp;TEXT($T49,"#,##0")&amp;" = $"&amp;TEXT(F49*$T49,"#,##0")&amp;CHAR(10),"")&amp;IF(G49&gt;0,"Alfajor Frutal x7: "&amp;G49&amp;" pack. x $"&amp;TEXT($T49,"#,##0")&amp;" = $"&amp;TEXT(G49*$T49,"#,##0")&amp;CHAR(10),"")&amp;IF(H49&gt;0,"Alfajor Santafesino x7: "&amp;H49&amp;" pack. x $"&amp;TEXT($T49,"#,##0")&amp;" = $"&amp;TEXT(H49*$T49,"#,##0")&amp;CHAR(10),"")&amp;IF(I49&gt;0,"Alfajor Maicena x14: "&amp;I49&amp;" pack. x $"&amp;TEXT($U49,"#,##0")&amp;" = $"&amp;TEXT(I49*$U49,"#,##0")&amp;CHAR(10),"")&amp;IF(J49&gt;0,"Pepas DDL: "&amp;J49&amp;" band. x $"&amp;TEXT($V49,"#,##0")&amp;" = $"&amp;TEXT(J49*$V49,"#,##0")&amp;CHAR(10),"")&amp;IF(K49&gt;0,"Pepas Membrillo: "&amp;K49&amp;" band. x $"&amp;TEXT($V49,"#,##0")&amp;" = $"&amp;TEXT(K49*$V49,"#,##0")&amp;CHAR(10),"")&amp;IF(L49&gt;0,"Pepas Arándano: "&amp;L49&amp;" band. x $"&amp;TEXT($V49,"#,##0")&amp;" = $"&amp;TEXT(L49*$V49,"#,##0")&amp;CHAR(10),"")&amp;IF(M49&gt;0,"Pepas Batata: "&amp;M49&amp;" band. x $"&amp;TEXT($V49,"#,##0")&amp;" = $"&amp;TEXT(M49*$V49,"#,##0")&amp;CHAR(10),"")&amp;IF(N49&gt;0,"Pepas Frutos del Bosque: "&amp;N49&amp;" band. x $"&amp;TEXT($V49,"#,##0")&amp;" = $"&amp;TEXT(N49*$V49,"#,##0")&amp;CHAR(10),"")&amp;"................................."&amp;CHAR(10)&amp;"*TOTAL: $"&amp;TEXT(P49,"#,##0")&amp;"*"&amp;CHAR(10)&amp;CHAR(10)&amp;"¡Gracias por tu pedido! 🙏")</f>
        <v/>
      </c>
      <c r="T49" s="78">
        <f>IF(C49="",Config!$B$5,IF(C49&gt;=Config!$B$2,Config!$C$5,Config!$B$5))</f>
        <v/>
      </c>
      <c r="U49" s="78">
        <f>IF(C49="",Config!$B$8,IF(C49&gt;=Config!$B$2,Config!$C$8,Config!$B$8))</f>
        <v/>
      </c>
      <c r="V49" s="78">
        <f>IF(C49="",Config!$B$9,IF(C49&gt;=Config!$B$2,Config!$C$9,Config!$B$9))</f>
        <v/>
      </c>
    </row>
    <row r="50" ht="60" customHeight="1" s="55">
      <c r="A50" s="72">
        <f>IF(D50="","",ROW()-4)</f>
        <v/>
      </c>
      <c r="B50" s="73" t="n"/>
      <c r="C50" s="73" t="n"/>
      <c r="D50" s="74" t="n"/>
      <c r="E50" s="74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2">
        <f>IF(D50="","",SUM(F50:N50))</f>
        <v/>
      </c>
      <c r="P50" s="76">
        <f>IF(D50="","",(F50+G50+H50)*T50+I50*U50+(J50+K50+L50+M50+N50)*V50)</f>
        <v/>
      </c>
      <c r="Q50" s="74" t="n"/>
      <c r="R50" s="77">
        <f>IF(OR(D50="",O50=0),"","🥮 *NUESTRO ALFAJOR*"&amp;CHAR(10)&amp;"Remito N° "&amp;A50&amp;CHAR(10)&amp;"Fecha entrega: "&amp;TEXT(C50,"DD/MM/YYYY")&amp;CHAR(10)&amp;"Cliente: "&amp;D50&amp;IF(E50&lt;&gt;"",", "&amp;E50,"")&amp;CHAR(10)&amp;"................................."&amp;CHAR(10)&amp;IF(F50&gt;0,"Alfajor Maicena x7: "&amp;F50&amp;" pack. x $"&amp;TEXT($T50,"#,##0")&amp;" = $"&amp;TEXT(F50*$T50,"#,##0")&amp;CHAR(10),"")&amp;IF(G50&gt;0,"Alfajor Frutal x7: "&amp;G50&amp;" pack. x $"&amp;TEXT($T50,"#,##0")&amp;" = $"&amp;TEXT(G50*$T50,"#,##0")&amp;CHAR(10),"")&amp;IF(H50&gt;0,"Alfajor Santafesino x7: "&amp;H50&amp;" pack. x $"&amp;TEXT($T50,"#,##0")&amp;" = $"&amp;TEXT(H50*$T50,"#,##0")&amp;CHAR(10),"")&amp;IF(I50&gt;0,"Alfajor Maicena x14: "&amp;I50&amp;" pack. x $"&amp;TEXT($U50,"#,##0")&amp;" = $"&amp;TEXT(I50*$U50,"#,##0")&amp;CHAR(10),"")&amp;IF(J50&gt;0,"Pepas DDL: "&amp;J50&amp;" band. x $"&amp;TEXT($V50,"#,##0")&amp;" = $"&amp;TEXT(J50*$V50,"#,##0")&amp;CHAR(10),"")&amp;IF(K50&gt;0,"Pepas Membrillo: "&amp;K50&amp;" band. x $"&amp;TEXT($V50,"#,##0")&amp;" = $"&amp;TEXT(K50*$V50,"#,##0")&amp;CHAR(10),"")&amp;IF(L50&gt;0,"Pepas Arándano: "&amp;L50&amp;" band. x $"&amp;TEXT($V50,"#,##0")&amp;" = $"&amp;TEXT(L50*$V50,"#,##0")&amp;CHAR(10),"")&amp;IF(M50&gt;0,"Pepas Batata: "&amp;M50&amp;" band. x $"&amp;TEXT($V50,"#,##0")&amp;" = $"&amp;TEXT(M50*$V50,"#,##0")&amp;CHAR(10),"")&amp;IF(N50&gt;0,"Pepas Frutos del Bosque: "&amp;N50&amp;" band. x $"&amp;TEXT($V50,"#,##0")&amp;" = $"&amp;TEXT(N50*$V50,"#,##0")&amp;CHAR(10),"")&amp;"................................."&amp;CHAR(10)&amp;"*TOTAL: $"&amp;TEXT(P50,"#,##0")&amp;"*"&amp;CHAR(10)&amp;CHAR(10)&amp;"¡Gracias por tu pedido! 🙏")</f>
        <v/>
      </c>
      <c r="T50" s="78">
        <f>IF(C50="",Config!$B$5,IF(C50&gt;=Config!$B$2,Config!$C$5,Config!$B$5))</f>
        <v/>
      </c>
      <c r="U50" s="78">
        <f>IF(C50="",Config!$B$8,IF(C50&gt;=Config!$B$2,Config!$C$8,Config!$B$8))</f>
        <v/>
      </c>
      <c r="V50" s="78">
        <f>IF(C50="",Config!$B$9,IF(C50&gt;=Config!$B$2,Config!$C$9,Config!$B$9))</f>
        <v/>
      </c>
    </row>
    <row r="51" ht="60" customHeight="1" s="55">
      <c r="A51" s="72">
        <f>IF(D51="","",ROW()-4)</f>
        <v/>
      </c>
      <c r="B51" s="73" t="n"/>
      <c r="C51" s="73" t="n"/>
      <c r="D51" s="74" t="n"/>
      <c r="E51" s="74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2">
        <f>IF(D51="","",SUM(F51:N51))</f>
        <v/>
      </c>
      <c r="P51" s="76">
        <f>IF(D51="","",(F51+G51+H51)*T51+I51*U51+(J51+K51+L51+M51+N51)*V51)</f>
        <v/>
      </c>
      <c r="Q51" s="74" t="n"/>
      <c r="R51" s="77">
        <f>IF(OR(D51="",O51=0),"","🥮 *NUESTRO ALFAJOR*"&amp;CHAR(10)&amp;"Remito N° "&amp;A51&amp;CHAR(10)&amp;"Fecha entrega: "&amp;TEXT(C51,"DD/MM/YYYY")&amp;CHAR(10)&amp;"Cliente: "&amp;D51&amp;IF(E51&lt;&gt;"",", "&amp;E51,"")&amp;CHAR(10)&amp;"................................."&amp;CHAR(10)&amp;IF(F51&gt;0,"Alfajor Maicena x7: "&amp;F51&amp;" pack. x $"&amp;TEXT($T51,"#,##0")&amp;" = $"&amp;TEXT(F51*$T51,"#,##0")&amp;CHAR(10),"")&amp;IF(G51&gt;0,"Alfajor Frutal x7: "&amp;G51&amp;" pack. x $"&amp;TEXT($T51,"#,##0")&amp;" = $"&amp;TEXT(G51*$T51,"#,##0")&amp;CHAR(10),"")&amp;IF(H51&gt;0,"Alfajor Santafesino x7: "&amp;H51&amp;" pack. x $"&amp;TEXT($T51,"#,##0")&amp;" = $"&amp;TEXT(H51*$T51,"#,##0")&amp;CHAR(10),"")&amp;IF(I51&gt;0,"Alfajor Maicena x14: "&amp;I51&amp;" pack. x $"&amp;TEXT($U51,"#,##0")&amp;" = $"&amp;TEXT(I51*$U51,"#,##0")&amp;CHAR(10),"")&amp;IF(J51&gt;0,"Pepas DDL: "&amp;J51&amp;" band. x $"&amp;TEXT($V51,"#,##0")&amp;" = $"&amp;TEXT(J51*$V51,"#,##0")&amp;CHAR(10),"")&amp;IF(K51&gt;0,"Pepas Membrillo: "&amp;K51&amp;" band. x $"&amp;TEXT($V51,"#,##0")&amp;" = $"&amp;TEXT(K51*$V51,"#,##0")&amp;CHAR(10),"")&amp;IF(L51&gt;0,"Pepas Arándano: "&amp;L51&amp;" band. x $"&amp;TEXT($V51,"#,##0")&amp;" = $"&amp;TEXT(L51*$V51,"#,##0")&amp;CHAR(10),"")&amp;IF(M51&gt;0,"Pepas Batata: "&amp;M51&amp;" band. x $"&amp;TEXT($V51,"#,##0")&amp;" = $"&amp;TEXT(M51*$V51,"#,##0")&amp;CHAR(10),"")&amp;IF(N51&gt;0,"Pepas Frutos del Bosque: "&amp;N51&amp;" band. x $"&amp;TEXT($V51,"#,##0")&amp;" = $"&amp;TEXT(N51*$V51,"#,##0")&amp;CHAR(10),"")&amp;"................................."&amp;CHAR(10)&amp;"*TOTAL: $"&amp;TEXT(P51,"#,##0")&amp;"*"&amp;CHAR(10)&amp;CHAR(10)&amp;"¡Gracias por tu pedido! 🙏")</f>
        <v/>
      </c>
      <c r="T51" s="78">
        <f>IF(C51="",Config!$B$5,IF(C51&gt;=Config!$B$2,Config!$C$5,Config!$B$5))</f>
        <v/>
      </c>
      <c r="U51" s="78">
        <f>IF(C51="",Config!$B$8,IF(C51&gt;=Config!$B$2,Config!$C$8,Config!$B$8))</f>
        <v/>
      </c>
      <c r="V51" s="78">
        <f>IF(C51="",Config!$B$9,IF(C51&gt;=Config!$B$2,Config!$C$9,Config!$B$9))</f>
        <v/>
      </c>
    </row>
    <row r="52" ht="60" customHeight="1" s="55">
      <c r="A52" s="72">
        <f>IF(D52="","",ROW()-4)</f>
        <v/>
      </c>
      <c r="B52" s="73" t="n"/>
      <c r="C52" s="73" t="n"/>
      <c r="D52" s="74" t="n"/>
      <c r="E52" s="74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2">
        <f>IF(D52="","",SUM(F52:N52))</f>
        <v/>
      </c>
      <c r="P52" s="76">
        <f>IF(D52="","",(F52+G52+H52)*T52+I52*U52+(J52+K52+L52+M52+N52)*V52)</f>
        <v/>
      </c>
      <c r="Q52" s="74" t="n"/>
      <c r="R52" s="77">
        <f>IF(OR(D52="",O52=0),"","🥮 *NUESTRO ALFAJOR*"&amp;CHAR(10)&amp;"Remito N° "&amp;A52&amp;CHAR(10)&amp;"Fecha entrega: "&amp;TEXT(C52,"DD/MM/YYYY")&amp;CHAR(10)&amp;"Cliente: "&amp;D52&amp;IF(E52&lt;&gt;"",", "&amp;E52,"")&amp;CHAR(10)&amp;"................................."&amp;CHAR(10)&amp;IF(F52&gt;0,"Alfajor Maicena x7: "&amp;F52&amp;" pack. x $"&amp;TEXT($T52,"#,##0")&amp;" = $"&amp;TEXT(F52*$T52,"#,##0")&amp;CHAR(10),"")&amp;IF(G52&gt;0,"Alfajor Frutal x7: "&amp;G52&amp;" pack. x $"&amp;TEXT($T52,"#,##0")&amp;" = $"&amp;TEXT(G52*$T52,"#,##0")&amp;CHAR(10),"")&amp;IF(H52&gt;0,"Alfajor Santafesino x7: "&amp;H52&amp;" pack. x $"&amp;TEXT($T52,"#,##0")&amp;" = $"&amp;TEXT(H52*$T52,"#,##0")&amp;CHAR(10),"")&amp;IF(I52&gt;0,"Alfajor Maicena x14: "&amp;I52&amp;" pack. x $"&amp;TEXT($U52,"#,##0")&amp;" = $"&amp;TEXT(I52*$U52,"#,##0")&amp;CHAR(10),"")&amp;IF(J52&gt;0,"Pepas DDL: "&amp;J52&amp;" band. x $"&amp;TEXT($V52,"#,##0")&amp;" = $"&amp;TEXT(J52*$V52,"#,##0")&amp;CHAR(10),"")&amp;IF(K52&gt;0,"Pepas Membrillo: "&amp;K52&amp;" band. x $"&amp;TEXT($V52,"#,##0")&amp;" = $"&amp;TEXT(K52*$V52,"#,##0")&amp;CHAR(10),"")&amp;IF(L52&gt;0,"Pepas Arándano: "&amp;L52&amp;" band. x $"&amp;TEXT($V52,"#,##0")&amp;" = $"&amp;TEXT(L52*$V52,"#,##0")&amp;CHAR(10),"")&amp;IF(M52&gt;0,"Pepas Batata: "&amp;M52&amp;" band. x $"&amp;TEXT($V52,"#,##0")&amp;" = $"&amp;TEXT(M52*$V52,"#,##0")&amp;CHAR(10),"")&amp;IF(N52&gt;0,"Pepas Frutos del Bosque: "&amp;N52&amp;" band. x $"&amp;TEXT($V52,"#,##0")&amp;" = $"&amp;TEXT(N52*$V52,"#,##0")&amp;CHAR(10),"")&amp;"................................."&amp;CHAR(10)&amp;"*TOTAL: $"&amp;TEXT(P52,"#,##0")&amp;"*"&amp;CHAR(10)&amp;CHAR(10)&amp;"¡Gracias por tu pedido! 🙏")</f>
        <v/>
      </c>
      <c r="T52" s="78">
        <f>IF(C52="",Config!$B$5,IF(C52&gt;=Config!$B$2,Config!$C$5,Config!$B$5))</f>
        <v/>
      </c>
      <c r="U52" s="78">
        <f>IF(C52="",Config!$B$8,IF(C52&gt;=Config!$B$2,Config!$C$8,Config!$B$8))</f>
        <v/>
      </c>
      <c r="V52" s="78">
        <f>IF(C52="",Config!$B$9,IF(C52&gt;=Config!$B$2,Config!$C$9,Config!$B$9))</f>
        <v/>
      </c>
    </row>
    <row r="53" ht="60" customHeight="1" s="55">
      <c r="A53" s="72">
        <f>IF(D53="","",ROW()-4)</f>
        <v/>
      </c>
      <c r="B53" s="73" t="n"/>
      <c r="C53" s="73" t="n"/>
      <c r="D53" s="74" t="n"/>
      <c r="E53" s="74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2">
        <f>IF(D53="","",SUM(F53:N53))</f>
        <v/>
      </c>
      <c r="P53" s="76">
        <f>IF(D53="","",(F53+G53+H53)*T53+I53*U53+(J53+K53+L53+M53+N53)*V53)</f>
        <v/>
      </c>
      <c r="Q53" s="74" t="n"/>
      <c r="R53" s="77">
        <f>IF(OR(D53="",O53=0),"","🥮 *NUESTRO ALFAJOR*"&amp;CHAR(10)&amp;"Remito N° "&amp;A53&amp;CHAR(10)&amp;"Fecha entrega: "&amp;TEXT(C53,"DD/MM/YYYY")&amp;CHAR(10)&amp;"Cliente: "&amp;D53&amp;IF(E53&lt;&gt;"",", "&amp;E53,"")&amp;CHAR(10)&amp;"................................."&amp;CHAR(10)&amp;IF(F53&gt;0,"Alfajor Maicena x7: "&amp;F53&amp;" pack. x $"&amp;TEXT($T53,"#,##0")&amp;" = $"&amp;TEXT(F53*$T53,"#,##0")&amp;CHAR(10),"")&amp;IF(G53&gt;0,"Alfajor Frutal x7: "&amp;G53&amp;" pack. x $"&amp;TEXT($T53,"#,##0")&amp;" = $"&amp;TEXT(G53*$T53,"#,##0")&amp;CHAR(10),"")&amp;IF(H53&gt;0,"Alfajor Santafesino x7: "&amp;H53&amp;" pack. x $"&amp;TEXT($T53,"#,##0")&amp;" = $"&amp;TEXT(H53*$T53,"#,##0")&amp;CHAR(10),"")&amp;IF(I53&gt;0,"Alfajor Maicena x14: "&amp;I53&amp;" pack. x $"&amp;TEXT($U53,"#,##0")&amp;" = $"&amp;TEXT(I53*$U53,"#,##0")&amp;CHAR(10),"")&amp;IF(J53&gt;0,"Pepas DDL: "&amp;J53&amp;" band. x $"&amp;TEXT($V53,"#,##0")&amp;" = $"&amp;TEXT(J53*$V53,"#,##0")&amp;CHAR(10),"")&amp;IF(K53&gt;0,"Pepas Membrillo: "&amp;K53&amp;" band. x $"&amp;TEXT($V53,"#,##0")&amp;" = $"&amp;TEXT(K53*$V53,"#,##0")&amp;CHAR(10),"")&amp;IF(L53&gt;0,"Pepas Arándano: "&amp;L53&amp;" band. x $"&amp;TEXT($V53,"#,##0")&amp;" = $"&amp;TEXT(L53*$V53,"#,##0")&amp;CHAR(10),"")&amp;IF(M53&gt;0,"Pepas Batata: "&amp;M53&amp;" band. x $"&amp;TEXT($V53,"#,##0")&amp;" = $"&amp;TEXT(M53*$V53,"#,##0")&amp;CHAR(10),"")&amp;IF(N53&gt;0,"Pepas Frutos del Bosque: "&amp;N53&amp;" band. x $"&amp;TEXT($V53,"#,##0")&amp;" = $"&amp;TEXT(N53*$V53,"#,##0")&amp;CHAR(10),"")&amp;"................................."&amp;CHAR(10)&amp;"*TOTAL: $"&amp;TEXT(P53,"#,##0")&amp;"*"&amp;CHAR(10)&amp;CHAR(10)&amp;"¡Gracias por tu pedido! 🙏")</f>
        <v/>
      </c>
      <c r="T53" s="78">
        <f>IF(C53="",Config!$B$5,IF(C53&gt;=Config!$B$2,Config!$C$5,Config!$B$5))</f>
        <v/>
      </c>
      <c r="U53" s="78">
        <f>IF(C53="",Config!$B$8,IF(C53&gt;=Config!$B$2,Config!$C$8,Config!$B$8))</f>
        <v/>
      </c>
      <c r="V53" s="78">
        <f>IF(C53="",Config!$B$9,IF(C53&gt;=Config!$B$2,Config!$C$9,Config!$B$9))</f>
        <v/>
      </c>
    </row>
    <row r="54" ht="60" customHeight="1" s="55">
      <c r="A54" s="72">
        <f>IF(D54="","",ROW()-4)</f>
        <v/>
      </c>
      <c r="B54" s="73" t="n"/>
      <c r="C54" s="73" t="n"/>
      <c r="D54" s="74" t="n"/>
      <c r="E54" s="74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2">
        <f>IF(D54="","",SUM(F54:N54))</f>
        <v/>
      </c>
      <c r="P54" s="76">
        <f>IF(D54="","",(F54+G54+H54)*T54+I54*U54+(J54+K54+L54+M54+N54)*V54)</f>
        <v/>
      </c>
      <c r="Q54" s="74" t="n"/>
      <c r="R54" s="77">
        <f>IF(OR(D54="",O54=0),"","🥮 *NUESTRO ALFAJOR*"&amp;CHAR(10)&amp;"Remito N° "&amp;A54&amp;CHAR(10)&amp;"Fecha entrega: "&amp;TEXT(C54,"DD/MM/YYYY")&amp;CHAR(10)&amp;"Cliente: "&amp;D54&amp;IF(E54&lt;&gt;"",", "&amp;E54,"")&amp;CHAR(10)&amp;"................................."&amp;CHAR(10)&amp;IF(F54&gt;0,"Alfajor Maicena x7: "&amp;F54&amp;" pack. x $"&amp;TEXT($T54,"#,##0")&amp;" = $"&amp;TEXT(F54*$T54,"#,##0")&amp;CHAR(10),"")&amp;IF(G54&gt;0,"Alfajor Frutal x7: "&amp;G54&amp;" pack. x $"&amp;TEXT($T54,"#,##0")&amp;" = $"&amp;TEXT(G54*$T54,"#,##0")&amp;CHAR(10),"")&amp;IF(H54&gt;0,"Alfajor Santafesino x7: "&amp;H54&amp;" pack. x $"&amp;TEXT($T54,"#,##0")&amp;" = $"&amp;TEXT(H54*$T54,"#,##0")&amp;CHAR(10),"")&amp;IF(I54&gt;0,"Alfajor Maicena x14: "&amp;I54&amp;" pack. x $"&amp;TEXT($U54,"#,##0")&amp;" = $"&amp;TEXT(I54*$U54,"#,##0")&amp;CHAR(10),"")&amp;IF(J54&gt;0,"Pepas DDL: "&amp;J54&amp;" band. x $"&amp;TEXT($V54,"#,##0")&amp;" = $"&amp;TEXT(J54*$V54,"#,##0")&amp;CHAR(10),"")&amp;IF(K54&gt;0,"Pepas Membrillo: "&amp;K54&amp;" band. x $"&amp;TEXT($V54,"#,##0")&amp;" = $"&amp;TEXT(K54*$V54,"#,##0")&amp;CHAR(10),"")&amp;IF(L54&gt;0,"Pepas Arándano: "&amp;L54&amp;" band. x $"&amp;TEXT($V54,"#,##0")&amp;" = $"&amp;TEXT(L54*$V54,"#,##0")&amp;CHAR(10),"")&amp;IF(M54&gt;0,"Pepas Batata: "&amp;M54&amp;" band. x $"&amp;TEXT($V54,"#,##0")&amp;" = $"&amp;TEXT(M54*$V54,"#,##0")&amp;CHAR(10),"")&amp;IF(N54&gt;0,"Pepas Frutos del Bosque: "&amp;N54&amp;" band. x $"&amp;TEXT($V54,"#,##0")&amp;" = $"&amp;TEXT(N54*$V54,"#,##0")&amp;CHAR(10),"")&amp;"................................."&amp;CHAR(10)&amp;"*TOTAL: $"&amp;TEXT(P54,"#,##0")&amp;"*"&amp;CHAR(10)&amp;CHAR(10)&amp;"¡Gracias por tu pedido! 🙏")</f>
        <v/>
      </c>
      <c r="T54" s="78">
        <f>IF(C54="",Config!$B$5,IF(C54&gt;=Config!$B$2,Config!$C$5,Config!$B$5))</f>
        <v/>
      </c>
      <c r="U54" s="78">
        <f>IF(C54="",Config!$B$8,IF(C54&gt;=Config!$B$2,Config!$C$8,Config!$B$8))</f>
        <v/>
      </c>
      <c r="V54" s="78">
        <f>IF(C54="",Config!$B$9,IF(C54&gt;=Config!$B$2,Config!$C$9,Config!$B$9))</f>
        <v/>
      </c>
    </row>
    <row r="55" ht="60" customHeight="1" s="55">
      <c r="A55" s="72">
        <f>IF(D55="","",ROW()-4)</f>
        <v/>
      </c>
      <c r="B55" s="73" t="n"/>
      <c r="C55" s="73" t="n"/>
      <c r="D55" s="74" t="n"/>
      <c r="E55" s="74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2">
        <f>IF(D55="","",SUM(F55:N55))</f>
        <v/>
      </c>
      <c r="P55" s="76">
        <f>IF(D55="","",(F55+G55+H55)*T55+I55*U55+(J55+K55+L55+M55+N55)*V55)</f>
        <v/>
      </c>
      <c r="Q55" s="74" t="n"/>
      <c r="R55" s="77">
        <f>IF(OR(D55="",O55=0),"","🥮 *NUESTRO ALFAJOR*"&amp;CHAR(10)&amp;"Remito N° "&amp;A55&amp;CHAR(10)&amp;"Fecha entrega: "&amp;TEXT(C55,"DD/MM/YYYY")&amp;CHAR(10)&amp;"Cliente: "&amp;D55&amp;IF(E55&lt;&gt;"",", "&amp;E55,"")&amp;CHAR(10)&amp;"................................."&amp;CHAR(10)&amp;IF(F55&gt;0,"Alfajor Maicena x7: "&amp;F55&amp;" pack. x $"&amp;TEXT($T55,"#,##0")&amp;" = $"&amp;TEXT(F55*$T55,"#,##0")&amp;CHAR(10),"")&amp;IF(G55&gt;0,"Alfajor Frutal x7: "&amp;G55&amp;" pack. x $"&amp;TEXT($T55,"#,##0")&amp;" = $"&amp;TEXT(G55*$T55,"#,##0")&amp;CHAR(10),"")&amp;IF(H55&gt;0,"Alfajor Santafesino x7: "&amp;H55&amp;" pack. x $"&amp;TEXT($T55,"#,##0")&amp;" = $"&amp;TEXT(H55*$T55,"#,##0")&amp;CHAR(10),"")&amp;IF(I55&gt;0,"Alfajor Maicena x14: "&amp;I55&amp;" pack. x $"&amp;TEXT($U55,"#,##0")&amp;" = $"&amp;TEXT(I55*$U55,"#,##0")&amp;CHAR(10),"")&amp;IF(J55&gt;0,"Pepas DDL: "&amp;J55&amp;" band. x $"&amp;TEXT($V55,"#,##0")&amp;" = $"&amp;TEXT(J55*$V55,"#,##0")&amp;CHAR(10),"")&amp;IF(K55&gt;0,"Pepas Membrillo: "&amp;K55&amp;" band. x $"&amp;TEXT($V55,"#,##0")&amp;" = $"&amp;TEXT(K55*$V55,"#,##0")&amp;CHAR(10),"")&amp;IF(L55&gt;0,"Pepas Arándano: "&amp;L55&amp;" band. x $"&amp;TEXT($V55,"#,##0")&amp;" = $"&amp;TEXT(L55*$V55,"#,##0")&amp;CHAR(10),"")&amp;IF(M55&gt;0,"Pepas Batata: "&amp;M55&amp;" band. x $"&amp;TEXT($V55,"#,##0")&amp;" = $"&amp;TEXT(M55*$V55,"#,##0")&amp;CHAR(10),"")&amp;IF(N55&gt;0,"Pepas Frutos del Bosque: "&amp;N55&amp;" band. x $"&amp;TEXT($V55,"#,##0")&amp;" = $"&amp;TEXT(N55*$V55,"#,##0")&amp;CHAR(10),"")&amp;"................................."&amp;CHAR(10)&amp;"*TOTAL: $"&amp;TEXT(P55,"#,##0")&amp;"*"&amp;CHAR(10)&amp;CHAR(10)&amp;"¡Gracias por tu pedido! 🙏")</f>
        <v/>
      </c>
      <c r="T55" s="78">
        <f>IF(C55="",Config!$B$5,IF(C55&gt;=Config!$B$2,Config!$C$5,Config!$B$5))</f>
        <v/>
      </c>
      <c r="U55" s="78">
        <f>IF(C55="",Config!$B$8,IF(C55&gt;=Config!$B$2,Config!$C$8,Config!$B$8))</f>
        <v/>
      </c>
      <c r="V55" s="78">
        <f>IF(C55="",Config!$B$9,IF(C55&gt;=Config!$B$2,Config!$C$9,Config!$B$9))</f>
        <v/>
      </c>
    </row>
    <row r="56" ht="60" customHeight="1" s="55">
      <c r="A56" s="72">
        <f>IF(D56="","",ROW()-4)</f>
        <v/>
      </c>
      <c r="B56" s="73" t="n"/>
      <c r="C56" s="73" t="n"/>
      <c r="D56" s="74" t="n"/>
      <c r="E56" s="74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2">
        <f>IF(D56="","",SUM(F56:N56))</f>
        <v/>
      </c>
      <c r="P56" s="76">
        <f>IF(D56="","",(F56+G56+H56)*T56+I56*U56+(J56+K56+L56+M56+N56)*V56)</f>
        <v/>
      </c>
      <c r="Q56" s="74" t="n"/>
      <c r="R56" s="77">
        <f>IF(OR(D56="",O56=0),"","🥮 *NUESTRO ALFAJOR*"&amp;CHAR(10)&amp;"Remito N° "&amp;A56&amp;CHAR(10)&amp;"Fecha entrega: "&amp;TEXT(C56,"DD/MM/YYYY")&amp;CHAR(10)&amp;"Cliente: "&amp;D56&amp;IF(E56&lt;&gt;"",", "&amp;E56,"")&amp;CHAR(10)&amp;"................................."&amp;CHAR(10)&amp;IF(F56&gt;0,"Alfajor Maicena x7: "&amp;F56&amp;" pack. x $"&amp;TEXT($T56,"#,##0")&amp;" = $"&amp;TEXT(F56*$T56,"#,##0")&amp;CHAR(10),"")&amp;IF(G56&gt;0,"Alfajor Frutal x7: "&amp;G56&amp;" pack. x $"&amp;TEXT($T56,"#,##0")&amp;" = $"&amp;TEXT(G56*$T56,"#,##0")&amp;CHAR(10),"")&amp;IF(H56&gt;0,"Alfajor Santafesino x7: "&amp;H56&amp;" pack. x $"&amp;TEXT($T56,"#,##0")&amp;" = $"&amp;TEXT(H56*$T56,"#,##0")&amp;CHAR(10),"")&amp;IF(I56&gt;0,"Alfajor Maicena x14: "&amp;I56&amp;" pack. x $"&amp;TEXT($U56,"#,##0")&amp;" = $"&amp;TEXT(I56*$U56,"#,##0")&amp;CHAR(10),"")&amp;IF(J56&gt;0,"Pepas DDL: "&amp;J56&amp;" band. x $"&amp;TEXT($V56,"#,##0")&amp;" = $"&amp;TEXT(J56*$V56,"#,##0")&amp;CHAR(10),"")&amp;IF(K56&gt;0,"Pepas Membrillo: "&amp;K56&amp;" band. x $"&amp;TEXT($V56,"#,##0")&amp;" = $"&amp;TEXT(K56*$V56,"#,##0")&amp;CHAR(10),"")&amp;IF(L56&gt;0,"Pepas Arándano: "&amp;L56&amp;" band. x $"&amp;TEXT($V56,"#,##0")&amp;" = $"&amp;TEXT(L56*$V56,"#,##0")&amp;CHAR(10),"")&amp;IF(M56&gt;0,"Pepas Batata: "&amp;M56&amp;" band. x $"&amp;TEXT($V56,"#,##0")&amp;" = $"&amp;TEXT(M56*$V56,"#,##0")&amp;CHAR(10),"")&amp;IF(N56&gt;0,"Pepas Frutos del Bosque: "&amp;N56&amp;" band. x $"&amp;TEXT($V56,"#,##0")&amp;" = $"&amp;TEXT(N56*$V56,"#,##0")&amp;CHAR(10),"")&amp;"................................."&amp;CHAR(10)&amp;"*TOTAL: $"&amp;TEXT(P56,"#,##0")&amp;"*"&amp;CHAR(10)&amp;CHAR(10)&amp;"¡Gracias por tu pedido! 🙏")</f>
        <v/>
      </c>
      <c r="T56" s="78">
        <f>IF(C56="",Config!$B$5,IF(C56&gt;=Config!$B$2,Config!$C$5,Config!$B$5))</f>
        <v/>
      </c>
      <c r="U56" s="78">
        <f>IF(C56="",Config!$B$8,IF(C56&gt;=Config!$B$2,Config!$C$8,Config!$B$8))</f>
        <v/>
      </c>
      <c r="V56" s="78">
        <f>IF(C56="",Config!$B$9,IF(C56&gt;=Config!$B$2,Config!$C$9,Config!$B$9))</f>
        <v/>
      </c>
    </row>
    <row r="57" ht="60" customHeight="1" s="55">
      <c r="A57" s="72">
        <f>IF(D57="","",ROW()-4)</f>
        <v/>
      </c>
      <c r="B57" s="73" t="n"/>
      <c r="C57" s="73" t="n"/>
      <c r="D57" s="74" t="n"/>
      <c r="E57" s="74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2">
        <f>IF(D57="","",SUM(F57:N57))</f>
        <v/>
      </c>
      <c r="P57" s="76">
        <f>IF(D57="","",(F57+G57+H57)*T57+I57*U57+(J57+K57+L57+M57+N57)*V57)</f>
        <v/>
      </c>
      <c r="Q57" s="74" t="n"/>
      <c r="R57" s="77">
        <f>IF(OR(D57="",O57=0),"","🥮 *NUESTRO ALFAJOR*"&amp;CHAR(10)&amp;"Remito N° "&amp;A57&amp;CHAR(10)&amp;"Fecha entrega: "&amp;TEXT(C57,"DD/MM/YYYY")&amp;CHAR(10)&amp;"Cliente: "&amp;D57&amp;IF(E57&lt;&gt;"",", "&amp;E57,"")&amp;CHAR(10)&amp;"................................."&amp;CHAR(10)&amp;IF(F57&gt;0,"Alfajor Maicena x7: "&amp;F57&amp;" pack. x $"&amp;TEXT($T57,"#,##0")&amp;" = $"&amp;TEXT(F57*$T57,"#,##0")&amp;CHAR(10),"")&amp;IF(G57&gt;0,"Alfajor Frutal x7: "&amp;G57&amp;" pack. x $"&amp;TEXT($T57,"#,##0")&amp;" = $"&amp;TEXT(G57*$T57,"#,##0")&amp;CHAR(10),"")&amp;IF(H57&gt;0,"Alfajor Santafesino x7: "&amp;H57&amp;" pack. x $"&amp;TEXT($T57,"#,##0")&amp;" = $"&amp;TEXT(H57*$T57,"#,##0")&amp;CHAR(10),"")&amp;IF(I57&gt;0,"Alfajor Maicena x14: "&amp;I57&amp;" pack. x $"&amp;TEXT($U57,"#,##0")&amp;" = $"&amp;TEXT(I57*$U57,"#,##0")&amp;CHAR(10),"")&amp;IF(J57&gt;0,"Pepas DDL: "&amp;J57&amp;" band. x $"&amp;TEXT($V57,"#,##0")&amp;" = $"&amp;TEXT(J57*$V57,"#,##0")&amp;CHAR(10),"")&amp;IF(K57&gt;0,"Pepas Membrillo: "&amp;K57&amp;" band. x $"&amp;TEXT($V57,"#,##0")&amp;" = $"&amp;TEXT(K57*$V57,"#,##0")&amp;CHAR(10),"")&amp;IF(L57&gt;0,"Pepas Arándano: "&amp;L57&amp;" band. x $"&amp;TEXT($V57,"#,##0")&amp;" = $"&amp;TEXT(L57*$V57,"#,##0")&amp;CHAR(10),"")&amp;IF(M57&gt;0,"Pepas Batata: "&amp;M57&amp;" band. x $"&amp;TEXT($V57,"#,##0")&amp;" = $"&amp;TEXT(M57*$V57,"#,##0")&amp;CHAR(10),"")&amp;IF(N57&gt;0,"Pepas Frutos del Bosque: "&amp;N57&amp;" band. x $"&amp;TEXT($V57,"#,##0")&amp;" = $"&amp;TEXT(N57*$V57,"#,##0")&amp;CHAR(10),"")&amp;"................................."&amp;CHAR(10)&amp;"*TOTAL: $"&amp;TEXT(P57,"#,##0")&amp;"*"&amp;CHAR(10)&amp;CHAR(10)&amp;"¡Gracias por tu pedido! 🙏")</f>
        <v/>
      </c>
      <c r="T57" s="78">
        <f>IF(C57="",Config!$B$5,IF(C57&gt;=Config!$B$2,Config!$C$5,Config!$B$5))</f>
        <v/>
      </c>
      <c r="U57" s="78">
        <f>IF(C57="",Config!$B$8,IF(C57&gt;=Config!$B$2,Config!$C$8,Config!$B$8))</f>
        <v/>
      </c>
      <c r="V57" s="78">
        <f>IF(C57="",Config!$B$9,IF(C57&gt;=Config!$B$2,Config!$C$9,Config!$B$9))</f>
        <v/>
      </c>
    </row>
    <row r="58" ht="60" customHeight="1" s="55">
      <c r="A58" s="72">
        <f>IF(D58="","",ROW()-4)</f>
        <v/>
      </c>
      <c r="B58" s="73" t="n"/>
      <c r="C58" s="73" t="n"/>
      <c r="D58" s="74" t="n"/>
      <c r="E58" s="74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2">
        <f>IF(D58="","",SUM(F58:N58))</f>
        <v/>
      </c>
      <c r="P58" s="76">
        <f>IF(D58="","",(F58+G58+H58)*T58+I58*U58+(J58+K58+L58+M58+N58)*V58)</f>
        <v/>
      </c>
      <c r="Q58" s="74" t="n"/>
      <c r="R58" s="77">
        <f>IF(OR(D58="",O58=0),"","🥮 *NUESTRO ALFAJOR*"&amp;CHAR(10)&amp;"Remito N° "&amp;A58&amp;CHAR(10)&amp;"Fecha entrega: "&amp;TEXT(C58,"DD/MM/YYYY")&amp;CHAR(10)&amp;"Cliente: "&amp;D58&amp;IF(E58&lt;&gt;"",", "&amp;E58,"")&amp;CHAR(10)&amp;"................................."&amp;CHAR(10)&amp;IF(F58&gt;0,"Alfajor Maicena x7: "&amp;F58&amp;" pack. x $"&amp;TEXT($T58,"#,##0")&amp;" = $"&amp;TEXT(F58*$T58,"#,##0")&amp;CHAR(10),"")&amp;IF(G58&gt;0,"Alfajor Frutal x7: "&amp;G58&amp;" pack. x $"&amp;TEXT($T58,"#,##0")&amp;" = $"&amp;TEXT(G58*$T58,"#,##0")&amp;CHAR(10),"")&amp;IF(H58&gt;0,"Alfajor Santafesino x7: "&amp;H58&amp;" pack. x $"&amp;TEXT($T58,"#,##0")&amp;" = $"&amp;TEXT(H58*$T58,"#,##0")&amp;CHAR(10),"")&amp;IF(I58&gt;0,"Alfajor Maicena x14: "&amp;I58&amp;" pack. x $"&amp;TEXT($U58,"#,##0")&amp;" = $"&amp;TEXT(I58*$U58,"#,##0")&amp;CHAR(10),"")&amp;IF(J58&gt;0,"Pepas DDL: "&amp;J58&amp;" band. x $"&amp;TEXT($V58,"#,##0")&amp;" = $"&amp;TEXT(J58*$V58,"#,##0")&amp;CHAR(10),"")&amp;IF(K58&gt;0,"Pepas Membrillo: "&amp;K58&amp;" band. x $"&amp;TEXT($V58,"#,##0")&amp;" = $"&amp;TEXT(K58*$V58,"#,##0")&amp;CHAR(10),"")&amp;IF(L58&gt;0,"Pepas Arándano: "&amp;L58&amp;" band. x $"&amp;TEXT($V58,"#,##0")&amp;" = $"&amp;TEXT(L58*$V58,"#,##0")&amp;CHAR(10),"")&amp;IF(M58&gt;0,"Pepas Batata: "&amp;M58&amp;" band. x $"&amp;TEXT($V58,"#,##0")&amp;" = $"&amp;TEXT(M58*$V58,"#,##0")&amp;CHAR(10),"")&amp;IF(N58&gt;0,"Pepas Frutos del Bosque: "&amp;N58&amp;" band. x $"&amp;TEXT($V58,"#,##0")&amp;" = $"&amp;TEXT(N58*$V58,"#,##0")&amp;CHAR(10),"")&amp;"................................."&amp;CHAR(10)&amp;"*TOTAL: $"&amp;TEXT(P58,"#,##0")&amp;"*"&amp;CHAR(10)&amp;CHAR(10)&amp;"¡Gracias por tu pedido! 🙏")</f>
        <v/>
      </c>
      <c r="T58" s="78">
        <f>IF(C58="",Config!$B$5,IF(C58&gt;=Config!$B$2,Config!$C$5,Config!$B$5))</f>
        <v/>
      </c>
      <c r="U58" s="78">
        <f>IF(C58="",Config!$B$8,IF(C58&gt;=Config!$B$2,Config!$C$8,Config!$B$8))</f>
        <v/>
      </c>
      <c r="V58" s="78">
        <f>IF(C58="",Config!$B$9,IF(C58&gt;=Config!$B$2,Config!$C$9,Config!$B$9))</f>
        <v/>
      </c>
    </row>
    <row r="59" ht="60" customHeight="1" s="55">
      <c r="A59" s="72">
        <f>IF(D59="","",ROW()-4)</f>
        <v/>
      </c>
      <c r="B59" s="73" t="n"/>
      <c r="C59" s="73" t="n"/>
      <c r="D59" s="74" t="n"/>
      <c r="E59" s="74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2">
        <f>IF(D59="","",SUM(F59:N59))</f>
        <v/>
      </c>
      <c r="P59" s="76">
        <f>IF(D59="","",(F59+G59+H59)*T59+I59*U59+(J59+K59+L59+M59+N59)*V59)</f>
        <v/>
      </c>
      <c r="Q59" s="74" t="n"/>
      <c r="R59" s="77">
        <f>IF(OR(D59="",O59=0),"","🥮 *NUESTRO ALFAJOR*"&amp;CHAR(10)&amp;"Remito N° "&amp;A59&amp;CHAR(10)&amp;"Fecha entrega: "&amp;TEXT(C59,"DD/MM/YYYY")&amp;CHAR(10)&amp;"Cliente: "&amp;D59&amp;IF(E59&lt;&gt;"",", "&amp;E59,"")&amp;CHAR(10)&amp;"................................."&amp;CHAR(10)&amp;IF(F59&gt;0,"Alfajor Maicena x7: "&amp;F59&amp;" pack. x $"&amp;TEXT($T59,"#,##0")&amp;" = $"&amp;TEXT(F59*$T59,"#,##0")&amp;CHAR(10),"")&amp;IF(G59&gt;0,"Alfajor Frutal x7: "&amp;G59&amp;" pack. x $"&amp;TEXT($T59,"#,##0")&amp;" = $"&amp;TEXT(G59*$T59,"#,##0")&amp;CHAR(10),"")&amp;IF(H59&gt;0,"Alfajor Santafesino x7: "&amp;H59&amp;" pack. x $"&amp;TEXT($T59,"#,##0")&amp;" = $"&amp;TEXT(H59*$T59,"#,##0")&amp;CHAR(10),"")&amp;IF(I59&gt;0,"Alfajor Maicena x14: "&amp;I59&amp;" pack. x $"&amp;TEXT($U59,"#,##0")&amp;" = $"&amp;TEXT(I59*$U59,"#,##0")&amp;CHAR(10),"")&amp;IF(J59&gt;0,"Pepas DDL: "&amp;J59&amp;" band. x $"&amp;TEXT($V59,"#,##0")&amp;" = $"&amp;TEXT(J59*$V59,"#,##0")&amp;CHAR(10),"")&amp;IF(K59&gt;0,"Pepas Membrillo: "&amp;K59&amp;" band. x $"&amp;TEXT($V59,"#,##0")&amp;" = $"&amp;TEXT(K59*$V59,"#,##0")&amp;CHAR(10),"")&amp;IF(L59&gt;0,"Pepas Arándano: "&amp;L59&amp;" band. x $"&amp;TEXT($V59,"#,##0")&amp;" = $"&amp;TEXT(L59*$V59,"#,##0")&amp;CHAR(10),"")&amp;IF(M59&gt;0,"Pepas Batata: "&amp;M59&amp;" band. x $"&amp;TEXT($V59,"#,##0")&amp;" = $"&amp;TEXT(M59*$V59,"#,##0")&amp;CHAR(10),"")&amp;IF(N59&gt;0,"Pepas Frutos del Bosque: "&amp;N59&amp;" band. x $"&amp;TEXT($V59,"#,##0")&amp;" = $"&amp;TEXT(N59*$V59,"#,##0")&amp;CHAR(10),"")&amp;"................................."&amp;CHAR(10)&amp;"*TOTAL: $"&amp;TEXT(P59,"#,##0")&amp;"*"&amp;CHAR(10)&amp;CHAR(10)&amp;"¡Gracias por tu pedido! 🙏")</f>
        <v/>
      </c>
      <c r="T59" s="78">
        <f>IF(C59="",Config!$B$5,IF(C59&gt;=Config!$B$2,Config!$C$5,Config!$B$5))</f>
        <v/>
      </c>
      <c r="U59" s="78">
        <f>IF(C59="",Config!$B$8,IF(C59&gt;=Config!$B$2,Config!$C$8,Config!$B$8))</f>
        <v/>
      </c>
      <c r="V59" s="78">
        <f>IF(C59="",Config!$B$9,IF(C59&gt;=Config!$B$2,Config!$C$9,Config!$B$9))</f>
        <v/>
      </c>
    </row>
    <row r="60" ht="60" customHeight="1" s="55">
      <c r="A60" s="72">
        <f>IF(D60="","",ROW()-4)</f>
        <v/>
      </c>
      <c r="B60" s="73" t="n"/>
      <c r="C60" s="73" t="n"/>
      <c r="D60" s="74" t="n"/>
      <c r="E60" s="74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2">
        <f>IF(D60="","",SUM(F60:N60))</f>
        <v/>
      </c>
      <c r="P60" s="76">
        <f>IF(D60="","",(F60+G60+H60)*T60+I60*U60+(J60+K60+L60+M60+N60)*V60)</f>
        <v/>
      </c>
      <c r="Q60" s="74" t="n"/>
      <c r="R60" s="77">
        <f>IF(OR(D60="",O60=0),"","🥮 *NUESTRO ALFAJOR*"&amp;CHAR(10)&amp;"Remito N° "&amp;A60&amp;CHAR(10)&amp;"Fecha entrega: "&amp;TEXT(C60,"DD/MM/YYYY")&amp;CHAR(10)&amp;"Cliente: "&amp;D60&amp;IF(E60&lt;&gt;"",", "&amp;E60,"")&amp;CHAR(10)&amp;"................................."&amp;CHAR(10)&amp;IF(F60&gt;0,"Alfajor Maicena x7: "&amp;F60&amp;" pack. x $"&amp;TEXT($T60,"#,##0")&amp;" = $"&amp;TEXT(F60*$T60,"#,##0")&amp;CHAR(10),"")&amp;IF(G60&gt;0,"Alfajor Frutal x7: "&amp;G60&amp;" pack. x $"&amp;TEXT($T60,"#,##0")&amp;" = $"&amp;TEXT(G60*$T60,"#,##0")&amp;CHAR(10),"")&amp;IF(H60&gt;0,"Alfajor Santafesino x7: "&amp;H60&amp;" pack. x $"&amp;TEXT($T60,"#,##0")&amp;" = $"&amp;TEXT(H60*$T60,"#,##0")&amp;CHAR(10),"")&amp;IF(I60&gt;0,"Alfajor Maicena x14: "&amp;I60&amp;" pack. x $"&amp;TEXT($U60,"#,##0")&amp;" = $"&amp;TEXT(I60*$U60,"#,##0")&amp;CHAR(10),"")&amp;IF(J60&gt;0,"Pepas DDL: "&amp;J60&amp;" band. x $"&amp;TEXT($V60,"#,##0")&amp;" = $"&amp;TEXT(J60*$V60,"#,##0")&amp;CHAR(10),"")&amp;IF(K60&gt;0,"Pepas Membrillo: "&amp;K60&amp;" band. x $"&amp;TEXT($V60,"#,##0")&amp;" = $"&amp;TEXT(K60*$V60,"#,##0")&amp;CHAR(10),"")&amp;IF(L60&gt;0,"Pepas Arándano: "&amp;L60&amp;" band. x $"&amp;TEXT($V60,"#,##0")&amp;" = $"&amp;TEXT(L60*$V60,"#,##0")&amp;CHAR(10),"")&amp;IF(M60&gt;0,"Pepas Batata: "&amp;M60&amp;" band. x $"&amp;TEXT($V60,"#,##0")&amp;" = $"&amp;TEXT(M60*$V60,"#,##0")&amp;CHAR(10),"")&amp;IF(N60&gt;0,"Pepas Frutos del Bosque: "&amp;N60&amp;" band. x $"&amp;TEXT($V60,"#,##0")&amp;" = $"&amp;TEXT(N60*$V60,"#,##0")&amp;CHAR(10),"")&amp;"................................."&amp;CHAR(10)&amp;"*TOTAL: $"&amp;TEXT(P60,"#,##0")&amp;"*"&amp;CHAR(10)&amp;CHAR(10)&amp;"¡Gracias por tu pedido! 🙏")</f>
        <v/>
      </c>
      <c r="T60" s="78">
        <f>IF(C60="",Config!$B$5,IF(C60&gt;=Config!$B$2,Config!$C$5,Config!$B$5))</f>
        <v/>
      </c>
      <c r="U60" s="78">
        <f>IF(C60="",Config!$B$8,IF(C60&gt;=Config!$B$2,Config!$C$8,Config!$B$8))</f>
        <v/>
      </c>
      <c r="V60" s="78">
        <f>IF(C60="",Config!$B$9,IF(C60&gt;=Config!$B$2,Config!$C$9,Config!$B$9))</f>
        <v/>
      </c>
    </row>
    <row r="61" ht="60" customHeight="1" s="55">
      <c r="A61" s="72">
        <f>IF(D61="","",ROW()-4)</f>
        <v/>
      </c>
      <c r="B61" s="73" t="n"/>
      <c r="C61" s="73" t="n"/>
      <c r="D61" s="74" t="n"/>
      <c r="E61" s="74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2">
        <f>IF(D61="","",SUM(F61:N61))</f>
        <v/>
      </c>
      <c r="P61" s="76">
        <f>IF(D61="","",(F61+G61+H61)*T61+I61*U61+(J61+K61+L61+M61+N61)*V61)</f>
        <v/>
      </c>
      <c r="Q61" s="74" t="n"/>
      <c r="R61" s="77">
        <f>IF(OR(D61="",O61=0),"","🥮 *NUESTRO ALFAJOR*"&amp;CHAR(10)&amp;"Remito N° "&amp;A61&amp;CHAR(10)&amp;"Fecha entrega: "&amp;TEXT(C61,"DD/MM/YYYY")&amp;CHAR(10)&amp;"Cliente: "&amp;D61&amp;IF(E61&lt;&gt;"",", "&amp;E61,"")&amp;CHAR(10)&amp;"................................."&amp;CHAR(10)&amp;IF(F61&gt;0,"Alfajor Maicena x7: "&amp;F61&amp;" pack. x $"&amp;TEXT($T61,"#,##0")&amp;" = $"&amp;TEXT(F61*$T61,"#,##0")&amp;CHAR(10),"")&amp;IF(G61&gt;0,"Alfajor Frutal x7: "&amp;G61&amp;" pack. x $"&amp;TEXT($T61,"#,##0")&amp;" = $"&amp;TEXT(G61*$T61,"#,##0")&amp;CHAR(10),"")&amp;IF(H61&gt;0,"Alfajor Santafesino x7: "&amp;H61&amp;" pack. x $"&amp;TEXT($T61,"#,##0")&amp;" = $"&amp;TEXT(H61*$T61,"#,##0")&amp;CHAR(10),"")&amp;IF(I61&gt;0,"Alfajor Maicena x14: "&amp;I61&amp;" pack. x $"&amp;TEXT($U61,"#,##0")&amp;" = $"&amp;TEXT(I61*$U61,"#,##0")&amp;CHAR(10),"")&amp;IF(J61&gt;0,"Pepas DDL: "&amp;J61&amp;" band. x $"&amp;TEXT($V61,"#,##0")&amp;" = $"&amp;TEXT(J61*$V61,"#,##0")&amp;CHAR(10),"")&amp;IF(K61&gt;0,"Pepas Membrillo: "&amp;K61&amp;" band. x $"&amp;TEXT($V61,"#,##0")&amp;" = $"&amp;TEXT(K61*$V61,"#,##0")&amp;CHAR(10),"")&amp;IF(L61&gt;0,"Pepas Arándano: "&amp;L61&amp;" band. x $"&amp;TEXT($V61,"#,##0")&amp;" = $"&amp;TEXT(L61*$V61,"#,##0")&amp;CHAR(10),"")&amp;IF(M61&gt;0,"Pepas Batata: "&amp;M61&amp;" band. x $"&amp;TEXT($V61,"#,##0")&amp;" = $"&amp;TEXT(M61*$V61,"#,##0")&amp;CHAR(10),"")&amp;IF(N61&gt;0,"Pepas Frutos del Bosque: "&amp;N61&amp;" band. x $"&amp;TEXT($V61,"#,##0")&amp;" = $"&amp;TEXT(N61*$V61,"#,##0")&amp;CHAR(10),"")&amp;"................................."&amp;CHAR(10)&amp;"*TOTAL: $"&amp;TEXT(P61,"#,##0")&amp;"*"&amp;CHAR(10)&amp;CHAR(10)&amp;"¡Gracias por tu pedido! 🙏")</f>
        <v/>
      </c>
      <c r="T61" s="78">
        <f>IF(C61="",Config!$B$5,IF(C61&gt;=Config!$B$2,Config!$C$5,Config!$B$5))</f>
        <v/>
      </c>
      <c r="U61" s="78">
        <f>IF(C61="",Config!$B$8,IF(C61&gt;=Config!$B$2,Config!$C$8,Config!$B$8))</f>
        <v/>
      </c>
      <c r="V61" s="78">
        <f>IF(C61="",Config!$B$9,IF(C61&gt;=Config!$B$2,Config!$C$9,Config!$B$9))</f>
        <v/>
      </c>
    </row>
    <row r="62" ht="60" customHeight="1" s="55">
      <c r="A62" s="72">
        <f>IF(D62="","",ROW()-4)</f>
        <v/>
      </c>
      <c r="B62" s="73" t="n"/>
      <c r="C62" s="73" t="n"/>
      <c r="D62" s="74" t="n"/>
      <c r="E62" s="74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2">
        <f>IF(D62="","",SUM(F62:N62))</f>
        <v/>
      </c>
      <c r="P62" s="76">
        <f>IF(D62="","",(F62+G62+H62)*T62+I62*U62+(J62+K62+L62+M62+N62)*V62)</f>
        <v/>
      </c>
      <c r="Q62" s="74" t="n"/>
      <c r="R62" s="77">
        <f>IF(OR(D62="",O62=0),"","🥮 *NUESTRO ALFAJOR*"&amp;CHAR(10)&amp;"Remito N° "&amp;A62&amp;CHAR(10)&amp;"Fecha entrega: "&amp;TEXT(C62,"DD/MM/YYYY")&amp;CHAR(10)&amp;"Cliente: "&amp;D62&amp;IF(E62&lt;&gt;"",", "&amp;E62,"")&amp;CHAR(10)&amp;"................................."&amp;CHAR(10)&amp;IF(F62&gt;0,"Alfajor Maicena x7: "&amp;F62&amp;" pack. x $"&amp;TEXT($T62,"#,##0")&amp;" = $"&amp;TEXT(F62*$T62,"#,##0")&amp;CHAR(10),"")&amp;IF(G62&gt;0,"Alfajor Frutal x7: "&amp;G62&amp;" pack. x $"&amp;TEXT($T62,"#,##0")&amp;" = $"&amp;TEXT(G62*$T62,"#,##0")&amp;CHAR(10),"")&amp;IF(H62&gt;0,"Alfajor Santafesino x7: "&amp;H62&amp;" pack. x $"&amp;TEXT($T62,"#,##0")&amp;" = $"&amp;TEXT(H62*$T62,"#,##0")&amp;CHAR(10),"")&amp;IF(I62&gt;0,"Alfajor Maicena x14: "&amp;I62&amp;" pack. x $"&amp;TEXT($U62,"#,##0")&amp;" = $"&amp;TEXT(I62*$U62,"#,##0")&amp;CHAR(10),"")&amp;IF(J62&gt;0,"Pepas DDL: "&amp;J62&amp;" band. x $"&amp;TEXT($V62,"#,##0")&amp;" = $"&amp;TEXT(J62*$V62,"#,##0")&amp;CHAR(10),"")&amp;IF(K62&gt;0,"Pepas Membrillo: "&amp;K62&amp;" band. x $"&amp;TEXT($V62,"#,##0")&amp;" = $"&amp;TEXT(K62*$V62,"#,##0")&amp;CHAR(10),"")&amp;IF(L62&gt;0,"Pepas Arándano: "&amp;L62&amp;" band. x $"&amp;TEXT($V62,"#,##0")&amp;" = $"&amp;TEXT(L62*$V62,"#,##0")&amp;CHAR(10),"")&amp;IF(M62&gt;0,"Pepas Batata: "&amp;M62&amp;" band. x $"&amp;TEXT($V62,"#,##0")&amp;" = $"&amp;TEXT(M62*$V62,"#,##0")&amp;CHAR(10),"")&amp;IF(N62&gt;0,"Pepas Frutos del Bosque: "&amp;N62&amp;" band. x $"&amp;TEXT($V62,"#,##0")&amp;" = $"&amp;TEXT(N62*$V62,"#,##0")&amp;CHAR(10),"")&amp;"................................."&amp;CHAR(10)&amp;"*TOTAL: $"&amp;TEXT(P62,"#,##0")&amp;"*"&amp;CHAR(10)&amp;CHAR(10)&amp;"¡Gracias por tu pedido! 🙏")</f>
        <v/>
      </c>
      <c r="T62" s="78">
        <f>IF(C62="",Config!$B$5,IF(C62&gt;=Config!$B$2,Config!$C$5,Config!$B$5))</f>
        <v/>
      </c>
      <c r="U62" s="78">
        <f>IF(C62="",Config!$B$8,IF(C62&gt;=Config!$B$2,Config!$C$8,Config!$B$8))</f>
        <v/>
      </c>
      <c r="V62" s="78">
        <f>IF(C62="",Config!$B$9,IF(C62&gt;=Config!$B$2,Config!$C$9,Config!$B$9))</f>
        <v/>
      </c>
    </row>
    <row r="63" ht="60" customHeight="1" s="55">
      <c r="A63" s="72">
        <f>IF(D63="","",ROW()-4)</f>
        <v/>
      </c>
      <c r="B63" s="73" t="n"/>
      <c r="C63" s="73" t="n"/>
      <c r="D63" s="74" t="n"/>
      <c r="E63" s="74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2">
        <f>IF(D63="","",SUM(F63:N63))</f>
        <v/>
      </c>
      <c r="P63" s="76">
        <f>IF(D63="","",(F63+G63+H63)*T63+I63*U63+(J63+K63+L63+M63+N63)*V63)</f>
        <v/>
      </c>
      <c r="Q63" s="74" t="n"/>
      <c r="R63" s="77">
        <f>IF(OR(D63="",O63=0),"","🥮 *NUESTRO ALFAJOR*"&amp;CHAR(10)&amp;"Remito N° "&amp;A63&amp;CHAR(10)&amp;"Fecha entrega: "&amp;TEXT(C63,"DD/MM/YYYY")&amp;CHAR(10)&amp;"Cliente: "&amp;D63&amp;IF(E63&lt;&gt;"",", "&amp;E63,"")&amp;CHAR(10)&amp;"................................."&amp;CHAR(10)&amp;IF(F63&gt;0,"Alfajor Maicena x7: "&amp;F63&amp;" pack. x $"&amp;TEXT($T63,"#,##0")&amp;" = $"&amp;TEXT(F63*$T63,"#,##0")&amp;CHAR(10),"")&amp;IF(G63&gt;0,"Alfajor Frutal x7: "&amp;G63&amp;" pack. x $"&amp;TEXT($T63,"#,##0")&amp;" = $"&amp;TEXT(G63*$T63,"#,##0")&amp;CHAR(10),"")&amp;IF(H63&gt;0,"Alfajor Santafesino x7: "&amp;H63&amp;" pack. x $"&amp;TEXT($T63,"#,##0")&amp;" = $"&amp;TEXT(H63*$T63,"#,##0")&amp;CHAR(10),"")&amp;IF(I63&gt;0,"Alfajor Maicena x14: "&amp;I63&amp;" pack. x $"&amp;TEXT($U63,"#,##0")&amp;" = $"&amp;TEXT(I63*$U63,"#,##0")&amp;CHAR(10),"")&amp;IF(J63&gt;0,"Pepas DDL: "&amp;J63&amp;" band. x $"&amp;TEXT($V63,"#,##0")&amp;" = $"&amp;TEXT(J63*$V63,"#,##0")&amp;CHAR(10),"")&amp;IF(K63&gt;0,"Pepas Membrillo: "&amp;K63&amp;" band. x $"&amp;TEXT($V63,"#,##0")&amp;" = $"&amp;TEXT(K63*$V63,"#,##0")&amp;CHAR(10),"")&amp;IF(L63&gt;0,"Pepas Arándano: "&amp;L63&amp;" band. x $"&amp;TEXT($V63,"#,##0")&amp;" = $"&amp;TEXT(L63*$V63,"#,##0")&amp;CHAR(10),"")&amp;IF(M63&gt;0,"Pepas Batata: "&amp;M63&amp;" band. x $"&amp;TEXT($V63,"#,##0")&amp;" = $"&amp;TEXT(M63*$V63,"#,##0")&amp;CHAR(10),"")&amp;IF(N63&gt;0,"Pepas Frutos del Bosque: "&amp;N63&amp;" band. x $"&amp;TEXT($V63,"#,##0")&amp;" = $"&amp;TEXT(N63*$V63,"#,##0")&amp;CHAR(10),"")&amp;"................................."&amp;CHAR(10)&amp;"*TOTAL: $"&amp;TEXT(P63,"#,##0")&amp;"*"&amp;CHAR(10)&amp;CHAR(10)&amp;"¡Gracias por tu pedido! 🙏")</f>
        <v/>
      </c>
      <c r="T63" s="78">
        <f>IF(C63="",Config!$B$5,IF(C63&gt;=Config!$B$2,Config!$C$5,Config!$B$5))</f>
        <v/>
      </c>
      <c r="U63" s="78">
        <f>IF(C63="",Config!$B$8,IF(C63&gt;=Config!$B$2,Config!$C$8,Config!$B$8))</f>
        <v/>
      </c>
      <c r="V63" s="78">
        <f>IF(C63="",Config!$B$9,IF(C63&gt;=Config!$B$2,Config!$C$9,Config!$B$9))</f>
        <v/>
      </c>
    </row>
    <row r="64" ht="60" customHeight="1" s="55">
      <c r="A64" s="72">
        <f>IF(D64="","",ROW()-4)</f>
        <v/>
      </c>
      <c r="B64" s="73" t="n"/>
      <c r="C64" s="73" t="n"/>
      <c r="D64" s="74" t="n"/>
      <c r="E64" s="74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2">
        <f>IF(D64="","",SUM(F64:N64))</f>
        <v/>
      </c>
      <c r="P64" s="76">
        <f>IF(D64="","",(F64+G64+H64)*T64+I64*U64+(J64+K64+L64+M64+N64)*V64)</f>
        <v/>
      </c>
      <c r="Q64" s="74" t="n"/>
      <c r="R64" s="77">
        <f>IF(OR(D64="",O64=0),"","🥮 *NUESTRO ALFAJOR*"&amp;CHAR(10)&amp;"Remito N° "&amp;A64&amp;CHAR(10)&amp;"Fecha entrega: "&amp;TEXT(C64,"DD/MM/YYYY")&amp;CHAR(10)&amp;"Cliente: "&amp;D64&amp;IF(E64&lt;&gt;"",", "&amp;E64,"")&amp;CHAR(10)&amp;"................................."&amp;CHAR(10)&amp;IF(F64&gt;0,"Alfajor Maicena x7: "&amp;F64&amp;" pack. x $"&amp;TEXT($T64,"#,##0")&amp;" = $"&amp;TEXT(F64*$T64,"#,##0")&amp;CHAR(10),"")&amp;IF(G64&gt;0,"Alfajor Frutal x7: "&amp;G64&amp;" pack. x $"&amp;TEXT($T64,"#,##0")&amp;" = $"&amp;TEXT(G64*$T64,"#,##0")&amp;CHAR(10),"")&amp;IF(H64&gt;0,"Alfajor Santafesino x7: "&amp;H64&amp;" pack. x $"&amp;TEXT($T64,"#,##0")&amp;" = $"&amp;TEXT(H64*$T64,"#,##0")&amp;CHAR(10),"")&amp;IF(I64&gt;0,"Alfajor Maicena x14: "&amp;I64&amp;" pack. x $"&amp;TEXT($U64,"#,##0")&amp;" = $"&amp;TEXT(I64*$U64,"#,##0")&amp;CHAR(10),"")&amp;IF(J64&gt;0,"Pepas DDL: "&amp;J64&amp;" band. x $"&amp;TEXT($V64,"#,##0")&amp;" = $"&amp;TEXT(J64*$V64,"#,##0")&amp;CHAR(10),"")&amp;IF(K64&gt;0,"Pepas Membrillo: "&amp;K64&amp;" band. x $"&amp;TEXT($V64,"#,##0")&amp;" = $"&amp;TEXT(K64*$V64,"#,##0")&amp;CHAR(10),"")&amp;IF(L64&gt;0,"Pepas Arándano: "&amp;L64&amp;" band. x $"&amp;TEXT($V64,"#,##0")&amp;" = $"&amp;TEXT(L64*$V64,"#,##0")&amp;CHAR(10),"")&amp;IF(M64&gt;0,"Pepas Batata: "&amp;M64&amp;" band. x $"&amp;TEXT($V64,"#,##0")&amp;" = $"&amp;TEXT(M64*$V64,"#,##0")&amp;CHAR(10),"")&amp;IF(N64&gt;0,"Pepas Frutos del Bosque: "&amp;N64&amp;" band. x $"&amp;TEXT($V64,"#,##0")&amp;" = $"&amp;TEXT(N64*$V64,"#,##0")&amp;CHAR(10),"")&amp;"................................."&amp;CHAR(10)&amp;"*TOTAL: $"&amp;TEXT(P64,"#,##0")&amp;"*"&amp;CHAR(10)&amp;CHAR(10)&amp;"¡Gracias por tu pedido! 🙏")</f>
        <v/>
      </c>
      <c r="T64" s="78">
        <f>IF(C64="",Config!$B$5,IF(C64&gt;=Config!$B$2,Config!$C$5,Config!$B$5))</f>
        <v/>
      </c>
      <c r="U64" s="78">
        <f>IF(C64="",Config!$B$8,IF(C64&gt;=Config!$B$2,Config!$C$8,Config!$B$8))</f>
        <v/>
      </c>
      <c r="V64" s="78">
        <f>IF(C64="",Config!$B$9,IF(C64&gt;=Config!$B$2,Config!$C$9,Config!$B$9))</f>
        <v/>
      </c>
    </row>
    <row r="65" ht="60" customHeight="1" s="55">
      <c r="A65" s="72">
        <f>IF(D65="","",ROW()-4)</f>
        <v/>
      </c>
      <c r="B65" s="73" t="n"/>
      <c r="C65" s="73" t="n"/>
      <c r="D65" s="74" t="n"/>
      <c r="E65" s="74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2">
        <f>IF(D65="","",SUM(F65:N65))</f>
        <v/>
      </c>
      <c r="P65" s="76">
        <f>IF(D65="","",(F65+G65+H65)*T65+I65*U65+(J65+K65+L65+M65+N65)*V65)</f>
        <v/>
      </c>
      <c r="Q65" s="74" t="n"/>
      <c r="R65" s="77">
        <f>IF(OR(D65="",O65=0),"","🥮 *NUESTRO ALFAJOR*"&amp;CHAR(10)&amp;"Remito N° "&amp;A65&amp;CHAR(10)&amp;"Fecha entrega: "&amp;TEXT(C65,"DD/MM/YYYY")&amp;CHAR(10)&amp;"Cliente: "&amp;D65&amp;IF(E65&lt;&gt;"",", "&amp;E65,"")&amp;CHAR(10)&amp;"................................."&amp;CHAR(10)&amp;IF(F65&gt;0,"Alfajor Maicena x7: "&amp;F65&amp;" pack. x $"&amp;TEXT($T65,"#,##0")&amp;" = $"&amp;TEXT(F65*$T65,"#,##0")&amp;CHAR(10),"")&amp;IF(G65&gt;0,"Alfajor Frutal x7: "&amp;G65&amp;" pack. x $"&amp;TEXT($T65,"#,##0")&amp;" = $"&amp;TEXT(G65*$T65,"#,##0")&amp;CHAR(10),"")&amp;IF(H65&gt;0,"Alfajor Santafesino x7: "&amp;H65&amp;" pack. x $"&amp;TEXT($T65,"#,##0")&amp;" = $"&amp;TEXT(H65*$T65,"#,##0")&amp;CHAR(10),"")&amp;IF(I65&gt;0,"Alfajor Maicena x14: "&amp;I65&amp;" pack. x $"&amp;TEXT($U65,"#,##0")&amp;" = $"&amp;TEXT(I65*$U65,"#,##0")&amp;CHAR(10),"")&amp;IF(J65&gt;0,"Pepas DDL: "&amp;J65&amp;" band. x $"&amp;TEXT($V65,"#,##0")&amp;" = $"&amp;TEXT(J65*$V65,"#,##0")&amp;CHAR(10),"")&amp;IF(K65&gt;0,"Pepas Membrillo: "&amp;K65&amp;" band. x $"&amp;TEXT($V65,"#,##0")&amp;" = $"&amp;TEXT(K65*$V65,"#,##0")&amp;CHAR(10),"")&amp;IF(L65&gt;0,"Pepas Arándano: "&amp;L65&amp;" band. x $"&amp;TEXT($V65,"#,##0")&amp;" = $"&amp;TEXT(L65*$V65,"#,##0")&amp;CHAR(10),"")&amp;IF(M65&gt;0,"Pepas Batata: "&amp;M65&amp;" band. x $"&amp;TEXT($V65,"#,##0")&amp;" = $"&amp;TEXT(M65*$V65,"#,##0")&amp;CHAR(10),"")&amp;IF(N65&gt;0,"Pepas Frutos del Bosque: "&amp;N65&amp;" band. x $"&amp;TEXT($V65,"#,##0")&amp;" = $"&amp;TEXT(N65*$V65,"#,##0")&amp;CHAR(10),"")&amp;"................................."&amp;CHAR(10)&amp;"*TOTAL: $"&amp;TEXT(P65,"#,##0")&amp;"*"&amp;CHAR(10)&amp;CHAR(10)&amp;"¡Gracias por tu pedido! 🙏")</f>
        <v/>
      </c>
      <c r="T65" s="78">
        <f>IF(C65="",Config!$B$5,IF(C65&gt;=Config!$B$2,Config!$C$5,Config!$B$5))</f>
        <v/>
      </c>
      <c r="U65" s="78">
        <f>IF(C65="",Config!$B$8,IF(C65&gt;=Config!$B$2,Config!$C$8,Config!$B$8))</f>
        <v/>
      </c>
      <c r="V65" s="78">
        <f>IF(C65="",Config!$B$9,IF(C65&gt;=Config!$B$2,Config!$C$9,Config!$B$9))</f>
        <v/>
      </c>
    </row>
    <row r="66" ht="60" customHeight="1" s="55">
      <c r="A66" s="72">
        <f>IF(D66="","",ROW()-4)</f>
        <v/>
      </c>
      <c r="B66" s="73" t="n"/>
      <c r="C66" s="73" t="n"/>
      <c r="D66" s="74" t="n"/>
      <c r="E66" s="74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2">
        <f>IF(D66="","",SUM(F66:N66))</f>
        <v/>
      </c>
      <c r="P66" s="76">
        <f>IF(D66="","",(F66+G66+H66)*T66+I66*U66+(J66+K66+L66+M66+N66)*V66)</f>
        <v/>
      </c>
      <c r="Q66" s="74" t="n"/>
      <c r="R66" s="77">
        <f>IF(OR(D66="",O66=0),"","🥮 *NUESTRO ALFAJOR*"&amp;CHAR(10)&amp;"Remito N° "&amp;A66&amp;CHAR(10)&amp;"Fecha entrega: "&amp;TEXT(C66,"DD/MM/YYYY")&amp;CHAR(10)&amp;"Cliente: "&amp;D66&amp;IF(E66&lt;&gt;"",", "&amp;E66,"")&amp;CHAR(10)&amp;"................................."&amp;CHAR(10)&amp;IF(F66&gt;0,"Alfajor Maicena x7: "&amp;F66&amp;" pack. x $"&amp;TEXT($T66,"#,##0")&amp;" = $"&amp;TEXT(F66*$T66,"#,##0")&amp;CHAR(10),"")&amp;IF(G66&gt;0,"Alfajor Frutal x7: "&amp;G66&amp;" pack. x $"&amp;TEXT($T66,"#,##0")&amp;" = $"&amp;TEXT(G66*$T66,"#,##0")&amp;CHAR(10),"")&amp;IF(H66&gt;0,"Alfajor Santafesino x7: "&amp;H66&amp;" pack. x $"&amp;TEXT($T66,"#,##0")&amp;" = $"&amp;TEXT(H66*$T66,"#,##0")&amp;CHAR(10),"")&amp;IF(I66&gt;0,"Alfajor Maicena x14: "&amp;I66&amp;" pack. x $"&amp;TEXT($U66,"#,##0")&amp;" = $"&amp;TEXT(I66*$U66,"#,##0")&amp;CHAR(10),"")&amp;IF(J66&gt;0,"Pepas DDL: "&amp;J66&amp;" band. x $"&amp;TEXT($V66,"#,##0")&amp;" = $"&amp;TEXT(J66*$V66,"#,##0")&amp;CHAR(10),"")&amp;IF(K66&gt;0,"Pepas Membrillo: "&amp;K66&amp;" band. x $"&amp;TEXT($V66,"#,##0")&amp;" = $"&amp;TEXT(K66*$V66,"#,##0")&amp;CHAR(10),"")&amp;IF(L66&gt;0,"Pepas Arándano: "&amp;L66&amp;" band. x $"&amp;TEXT($V66,"#,##0")&amp;" = $"&amp;TEXT(L66*$V66,"#,##0")&amp;CHAR(10),"")&amp;IF(M66&gt;0,"Pepas Batata: "&amp;M66&amp;" band. x $"&amp;TEXT($V66,"#,##0")&amp;" = $"&amp;TEXT(M66*$V66,"#,##0")&amp;CHAR(10),"")&amp;IF(N66&gt;0,"Pepas Frutos del Bosque: "&amp;N66&amp;" band. x $"&amp;TEXT($V66,"#,##0")&amp;" = $"&amp;TEXT(N66*$V66,"#,##0")&amp;CHAR(10),"")&amp;"................................."&amp;CHAR(10)&amp;"*TOTAL: $"&amp;TEXT(P66,"#,##0")&amp;"*"&amp;CHAR(10)&amp;CHAR(10)&amp;"¡Gracias por tu pedido! 🙏")</f>
        <v/>
      </c>
      <c r="T66" s="78">
        <f>IF(C66="",Config!$B$5,IF(C66&gt;=Config!$B$2,Config!$C$5,Config!$B$5))</f>
        <v/>
      </c>
      <c r="U66" s="78">
        <f>IF(C66="",Config!$B$8,IF(C66&gt;=Config!$B$2,Config!$C$8,Config!$B$8))</f>
        <v/>
      </c>
      <c r="V66" s="78">
        <f>IF(C66="",Config!$B$9,IF(C66&gt;=Config!$B$2,Config!$C$9,Config!$B$9))</f>
        <v/>
      </c>
    </row>
    <row r="67" ht="60" customHeight="1" s="55">
      <c r="A67" s="72">
        <f>IF(D67="","",ROW()-4)</f>
        <v/>
      </c>
      <c r="B67" s="73" t="n"/>
      <c r="C67" s="73" t="n"/>
      <c r="D67" s="74" t="n"/>
      <c r="E67" s="74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2">
        <f>IF(D67="","",SUM(F67:N67))</f>
        <v/>
      </c>
      <c r="P67" s="76">
        <f>IF(D67="","",(F67+G67+H67)*T67+I67*U67+(J67+K67+L67+M67+N67)*V67)</f>
        <v/>
      </c>
      <c r="Q67" s="74" t="n"/>
      <c r="R67" s="77">
        <f>IF(OR(D67="",O67=0),"","🥮 *NUESTRO ALFAJOR*"&amp;CHAR(10)&amp;"Remito N° "&amp;A67&amp;CHAR(10)&amp;"Fecha entrega: "&amp;TEXT(C67,"DD/MM/YYYY")&amp;CHAR(10)&amp;"Cliente: "&amp;D67&amp;IF(E67&lt;&gt;"",", "&amp;E67,"")&amp;CHAR(10)&amp;"................................."&amp;CHAR(10)&amp;IF(F67&gt;0,"Alfajor Maicena x7: "&amp;F67&amp;" pack. x $"&amp;TEXT($T67,"#,##0")&amp;" = $"&amp;TEXT(F67*$T67,"#,##0")&amp;CHAR(10),"")&amp;IF(G67&gt;0,"Alfajor Frutal x7: "&amp;G67&amp;" pack. x $"&amp;TEXT($T67,"#,##0")&amp;" = $"&amp;TEXT(G67*$T67,"#,##0")&amp;CHAR(10),"")&amp;IF(H67&gt;0,"Alfajor Santafesino x7: "&amp;H67&amp;" pack. x $"&amp;TEXT($T67,"#,##0")&amp;" = $"&amp;TEXT(H67*$T67,"#,##0")&amp;CHAR(10),"")&amp;IF(I67&gt;0,"Alfajor Maicena x14: "&amp;I67&amp;" pack. x $"&amp;TEXT($U67,"#,##0")&amp;" = $"&amp;TEXT(I67*$U67,"#,##0")&amp;CHAR(10),"")&amp;IF(J67&gt;0,"Pepas DDL: "&amp;J67&amp;" band. x $"&amp;TEXT($V67,"#,##0")&amp;" = $"&amp;TEXT(J67*$V67,"#,##0")&amp;CHAR(10),"")&amp;IF(K67&gt;0,"Pepas Membrillo: "&amp;K67&amp;" band. x $"&amp;TEXT($V67,"#,##0")&amp;" = $"&amp;TEXT(K67*$V67,"#,##0")&amp;CHAR(10),"")&amp;IF(L67&gt;0,"Pepas Arándano: "&amp;L67&amp;" band. x $"&amp;TEXT($V67,"#,##0")&amp;" = $"&amp;TEXT(L67*$V67,"#,##0")&amp;CHAR(10),"")&amp;IF(M67&gt;0,"Pepas Batata: "&amp;M67&amp;" band. x $"&amp;TEXT($V67,"#,##0")&amp;" = $"&amp;TEXT(M67*$V67,"#,##0")&amp;CHAR(10),"")&amp;IF(N67&gt;0,"Pepas Frutos del Bosque: "&amp;N67&amp;" band. x $"&amp;TEXT($V67,"#,##0")&amp;" = $"&amp;TEXT(N67*$V67,"#,##0")&amp;CHAR(10),"")&amp;"................................."&amp;CHAR(10)&amp;"*TOTAL: $"&amp;TEXT(P67,"#,##0")&amp;"*"&amp;CHAR(10)&amp;CHAR(10)&amp;"¡Gracias por tu pedido! 🙏")</f>
        <v/>
      </c>
      <c r="T67" s="78">
        <f>IF(C67="",Config!$B$5,IF(C67&gt;=Config!$B$2,Config!$C$5,Config!$B$5))</f>
        <v/>
      </c>
      <c r="U67" s="78">
        <f>IF(C67="",Config!$B$8,IF(C67&gt;=Config!$B$2,Config!$C$8,Config!$B$8))</f>
        <v/>
      </c>
      <c r="V67" s="78">
        <f>IF(C67="",Config!$B$9,IF(C67&gt;=Config!$B$2,Config!$C$9,Config!$B$9))</f>
        <v/>
      </c>
    </row>
    <row r="68" ht="60" customHeight="1" s="55">
      <c r="A68" s="72">
        <f>IF(D68="","",ROW()-4)</f>
        <v/>
      </c>
      <c r="B68" s="73" t="n"/>
      <c r="C68" s="73" t="n"/>
      <c r="D68" s="74" t="n"/>
      <c r="E68" s="74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2">
        <f>IF(D68="","",SUM(F68:N68))</f>
        <v/>
      </c>
      <c r="P68" s="76">
        <f>IF(D68="","",(F68+G68+H68)*T68+I68*U68+(J68+K68+L68+M68+N68)*V68)</f>
        <v/>
      </c>
      <c r="Q68" s="74" t="n"/>
      <c r="R68" s="77">
        <f>IF(OR(D68="",O68=0),"","🥮 *NUESTRO ALFAJOR*"&amp;CHAR(10)&amp;"Remito N° "&amp;A68&amp;CHAR(10)&amp;"Fecha entrega: "&amp;TEXT(C68,"DD/MM/YYYY")&amp;CHAR(10)&amp;"Cliente: "&amp;D68&amp;IF(E68&lt;&gt;"",", "&amp;E68,"")&amp;CHAR(10)&amp;"................................."&amp;CHAR(10)&amp;IF(F68&gt;0,"Alfajor Maicena x7: "&amp;F68&amp;" pack. x $"&amp;TEXT($T68,"#,##0")&amp;" = $"&amp;TEXT(F68*$T68,"#,##0")&amp;CHAR(10),"")&amp;IF(G68&gt;0,"Alfajor Frutal x7: "&amp;G68&amp;" pack. x $"&amp;TEXT($T68,"#,##0")&amp;" = $"&amp;TEXT(G68*$T68,"#,##0")&amp;CHAR(10),"")&amp;IF(H68&gt;0,"Alfajor Santafesino x7: "&amp;H68&amp;" pack. x $"&amp;TEXT($T68,"#,##0")&amp;" = $"&amp;TEXT(H68*$T68,"#,##0")&amp;CHAR(10),"")&amp;IF(I68&gt;0,"Alfajor Maicena x14: "&amp;I68&amp;" pack. x $"&amp;TEXT($U68,"#,##0")&amp;" = $"&amp;TEXT(I68*$U68,"#,##0")&amp;CHAR(10),"")&amp;IF(J68&gt;0,"Pepas DDL: "&amp;J68&amp;" band. x $"&amp;TEXT($V68,"#,##0")&amp;" = $"&amp;TEXT(J68*$V68,"#,##0")&amp;CHAR(10),"")&amp;IF(K68&gt;0,"Pepas Membrillo: "&amp;K68&amp;" band. x $"&amp;TEXT($V68,"#,##0")&amp;" = $"&amp;TEXT(K68*$V68,"#,##0")&amp;CHAR(10),"")&amp;IF(L68&gt;0,"Pepas Arándano: "&amp;L68&amp;" band. x $"&amp;TEXT($V68,"#,##0")&amp;" = $"&amp;TEXT(L68*$V68,"#,##0")&amp;CHAR(10),"")&amp;IF(M68&gt;0,"Pepas Batata: "&amp;M68&amp;" band. x $"&amp;TEXT($V68,"#,##0")&amp;" = $"&amp;TEXT(M68*$V68,"#,##0")&amp;CHAR(10),"")&amp;IF(N68&gt;0,"Pepas Frutos del Bosque: "&amp;N68&amp;" band. x $"&amp;TEXT($V68,"#,##0")&amp;" = $"&amp;TEXT(N68*$V68,"#,##0")&amp;CHAR(10),"")&amp;"................................."&amp;CHAR(10)&amp;"*TOTAL: $"&amp;TEXT(P68,"#,##0")&amp;"*"&amp;CHAR(10)&amp;CHAR(10)&amp;"¡Gracias por tu pedido! 🙏")</f>
        <v/>
      </c>
      <c r="T68" s="78">
        <f>IF(C68="",Config!$B$5,IF(C68&gt;=Config!$B$2,Config!$C$5,Config!$B$5))</f>
        <v/>
      </c>
      <c r="U68" s="78">
        <f>IF(C68="",Config!$B$8,IF(C68&gt;=Config!$B$2,Config!$C$8,Config!$B$8))</f>
        <v/>
      </c>
      <c r="V68" s="78">
        <f>IF(C68="",Config!$B$9,IF(C68&gt;=Config!$B$2,Config!$C$9,Config!$B$9))</f>
        <v/>
      </c>
    </row>
    <row r="69" ht="60" customHeight="1" s="55">
      <c r="A69" s="72">
        <f>IF(D69="","",ROW()-4)</f>
        <v/>
      </c>
      <c r="B69" s="73" t="n"/>
      <c r="C69" s="73" t="n"/>
      <c r="D69" s="74" t="n"/>
      <c r="E69" s="74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2">
        <f>IF(D69="","",SUM(F69:N69))</f>
        <v/>
      </c>
      <c r="P69" s="76">
        <f>IF(D69="","",(F69+G69+H69)*T69+I69*U69+(J69+K69+L69+M69+N69)*V69)</f>
        <v/>
      </c>
      <c r="Q69" s="74" t="n"/>
      <c r="R69" s="77">
        <f>IF(OR(D69="",O69=0),"","🥮 *NUESTRO ALFAJOR*"&amp;CHAR(10)&amp;"Remito N° "&amp;A69&amp;CHAR(10)&amp;"Fecha entrega: "&amp;TEXT(C69,"DD/MM/YYYY")&amp;CHAR(10)&amp;"Cliente: "&amp;D69&amp;IF(E69&lt;&gt;"",", "&amp;E69,"")&amp;CHAR(10)&amp;"................................."&amp;CHAR(10)&amp;IF(F69&gt;0,"Alfajor Maicena x7: "&amp;F69&amp;" pack. x $"&amp;TEXT($T69,"#,##0")&amp;" = $"&amp;TEXT(F69*$T69,"#,##0")&amp;CHAR(10),"")&amp;IF(G69&gt;0,"Alfajor Frutal x7: "&amp;G69&amp;" pack. x $"&amp;TEXT($T69,"#,##0")&amp;" = $"&amp;TEXT(G69*$T69,"#,##0")&amp;CHAR(10),"")&amp;IF(H69&gt;0,"Alfajor Santafesino x7: "&amp;H69&amp;" pack. x $"&amp;TEXT($T69,"#,##0")&amp;" = $"&amp;TEXT(H69*$T69,"#,##0")&amp;CHAR(10),"")&amp;IF(I69&gt;0,"Alfajor Maicena x14: "&amp;I69&amp;" pack. x $"&amp;TEXT($U69,"#,##0")&amp;" = $"&amp;TEXT(I69*$U69,"#,##0")&amp;CHAR(10),"")&amp;IF(J69&gt;0,"Pepas DDL: "&amp;J69&amp;" band. x $"&amp;TEXT($V69,"#,##0")&amp;" = $"&amp;TEXT(J69*$V69,"#,##0")&amp;CHAR(10),"")&amp;IF(K69&gt;0,"Pepas Membrillo: "&amp;K69&amp;" band. x $"&amp;TEXT($V69,"#,##0")&amp;" = $"&amp;TEXT(K69*$V69,"#,##0")&amp;CHAR(10),"")&amp;IF(L69&gt;0,"Pepas Arándano: "&amp;L69&amp;" band. x $"&amp;TEXT($V69,"#,##0")&amp;" = $"&amp;TEXT(L69*$V69,"#,##0")&amp;CHAR(10),"")&amp;IF(M69&gt;0,"Pepas Batata: "&amp;M69&amp;" band. x $"&amp;TEXT($V69,"#,##0")&amp;" = $"&amp;TEXT(M69*$V69,"#,##0")&amp;CHAR(10),"")&amp;IF(N69&gt;0,"Pepas Frutos del Bosque: "&amp;N69&amp;" band. x $"&amp;TEXT($V69,"#,##0")&amp;" = $"&amp;TEXT(N69*$V69,"#,##0")&amp;CHAR(10),"")&amp;"................................."&amp;CHAR(10)&amp;"*TOTAL: $"&amp;TEXT(P69,"#,##0")&amp;"*"&amp;CHAR(10)&amp;CHAR(10)&amp;"¡Gracias por tu pedido! 🙏")</f>
        <v/>
      </c>
      <c r="T69" s="78">
        <f>IF(C69="",Config!$B$5,IF(C69&gt;=Config!$B$2,Config!$C$5,Config!$B$5))</f>
        <v/>
      </c>
      <c r="U69" s="78">
        <f>IF(C69="",Config!$B$8,IF(C69&gt;=Config!$B$2,Config!$C$8,Config!$B$8))</f>
        <v/>
      </c>
      <c r="V69" s="78">
        <f>IF(C69="",Config!$B$9,IF(C69&gt;=Config!$B$2,Config!$C$9,Config!$B$9))</f>
        <v/>
      </c>
    </row>
    <row r="70" ht="60" customHeight="1" s="55">
      <c r="A70" s="72">
        <f>IF(D70="","",ROW()-4)</f>
        <v/>
      </c>
      <c r="B70" s="73" t="n"/>
      <c r="C70" s="73" t="n"/>
      <c r="D70" s="74" t="n"/>
      <c r="E70" s="74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2">
        <f>IF(D70="","",SUM(F70:N70))</f>
        <v/>
      </c>
      <c r="P70" s="76">
        <f>IF(D70="","",(F70+G70+H70)*T70+I70*U70+(J70+K70+L70+M70+N70)*V70)</f>
        <v/>
      </c>
      <c r="Q70" s="74" t="n"/>
      <c r="R70" s="77">
        <f>IF(OR(D70="",O70=0),"","🥮 *NUESTRO ALFAJOR*"&amp;CHAR(10)&amp;"Remito N° "&amp;A70&amp;CHAR(10)&amp;"Fecha entrega: "&amp;TEXT(C70,"DD/MM/YYYY")&amp;CHAR(10)&amp;"Cliente: "&amp;D70&amp;IF(E70&lt;&gt;"",", "&amp;E70,"")&amp;CHAR(10)&amp;"................................."&amp;CHAR(10)&amp;IF(F70&gt;0,"Alfajor Maicena x7: "&amp;F70&amp;" pack. x $"&amp;TEXT($T70,"#,##0")&amp;" = $"&amp;TEXT(F70*$T70,"#,##0")&amp;CHAR(10),"")&amp;IF(G70&gt;0,"Alfajor Frutal x7: "&amp;G70&amp;" pack. x $"&amp;TEXT($T70,"#,##0")&amp;" = $"&amp;TEXT(G70*$T70,"#,##0")&amp;CHAR(10),"")&amp;IF(H70&gt;0,"Alfajor Santafesino x7: "&amp;H70&amp;" pack. x $"&amp;TEXT($T70,"#,##0")&amp;" = $"&amp;TEXT(H70*$T70,"#,##0")&amp;CHAR(10),"")&amp;IF(I70&gt;0,"Alfajor Maicena x14: "&amp;I70&amp;" pack. x $"&amp;TEXT($U70,"#,##0")&amp;" = $"&amp;TEXT(I70*$U70,"#,##0")&amp;CHAR(10),"")&amp;IF(J70&gt;0,"Pepas DDL: "&amp;J70&amp;" band. x $"&amp;TEXT($V70,"#,##0")&amp;" = $"&amp;TEXT(J70*$V70,"#,##0")&amp;CHAR(10),"")&amp;IF(K70&gt;0,"Pepas Membrillo: "&amp;K70&amp;" band. x $"&amp;TEXT($V70,"#,##0")&amp;" = $"&amp;TEXT(K70*$V70,"#,##0")&amp;CHAR(10),"")&amp;IF(L70&gt;0,"Pepas Arándano: "&amp;L70&amp;" band. x $"&amp;TEXT($V70,"#,##0")&amp;" = $"&amp;TEXT(L70*$V70,"#,##0")&amp;CHAR(10),"")&amp;IF(M70&gt;0,"Pepas Batata: "&amp;M70&amp;" band. x $"&amp;TEXT($V70,"#,##0")&amp;" = $"&amp;TEXT(M70*$V70,"#,##0")&amp;CHAR(10),"")&amp;IF(N70&gt;0,"Pepas Frutos del Bosque: "&amp;N70&amp;" band. x $"&amp;TEXT($V70,"#,##0")&amp;" = $"&amp;TEXT(N70*$V70,"#,##0")&amp;CHAR(10),"")&amp;"................................."&amp;CHAR(10)&amp;"*TOTAL: $"&amp;TEXT(P70,"#,##0")&amp;"*"&amp;CHAR(10)&amp;CHAR(10)&amp;"¡Gracias por tu pedido! 🙏")</f>
        <v/>
      </c>
      <c r="T70" s="78">
        <f>IF(C70="",Config!$B$5,IF(C70&gt;=Config!$B$2,Config!$C$5,Config!$B$5))</f>
        <v/>
      </c>
      <c r="U70" s="78">
        <f>IF(C70="",Config!$B$8,IF(C70&gt;=Config!$B$2,Config!$C$8,Config!$B$8))</f>
        <v/>
      </c>
      <c r="V70" s="78">
        <f>IF(C70="",Config!$B$9,IF(C70&gt;=Config!$B$2,Config!$C$9,Config!$B$9))</f>
        <v/>
      </c>
    </row>
    <row r="71" ht="60" customHeight="1" s="55">
      <c r="A71" s="72">
        <f>IF(D71="","",ROW()-4)</f>
        <v/>
      </c>
      <c r="B71" s="73" t="n"/>
      <c r="C71" s="73" t="n"/>
      <c r="D71" s="74" t="n"/>
      <c r="E71" s="74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2">
        <f>IF(D71="","",SUM(F71:N71))</f>
        <v/>
      </c>
      <c r="P71" s="76">
        <f>IF(D71="","",(F71+G71+H71)*T71+I71*U71+(J71+K71+L71+M71+N71)*V71)</f>
        <v/>
      </c>
      <c r="Q71" s="74" t="n"/>
      <c r="R71" s="77">
        <f>IF(OR(D71="",O71=0),"","🥮 *NUESTRO ALFAJOR*"&amp;CHAR(10)&amp;"Remito N° "&amp;A71&amp;CHAR(10)&amp;"Fecha entrega: "&amp;TEXT(C71,"DD/MM/YYYY")&amp;CHAR(10)&amp;"Cliente: "&amp;D71&amp;IF(E71&lt;&gt;"",", "&amp;E71,"")&amp;CHAR(10)&amp;"................................."&amp;CHAR(10)&amp;IF(F71&gt;0,"Alfajor Maicena x7: "&amp;F71&amp;" pack. x $"&amp;TEXT($T71,"#,##0")&amp;" = $"&amp;TEXT(F71*$T71,"#,##0")&amp;CHAR(10),"")&amp;IF(G71&gt;0,"Alfajor Frutal x7: "&amp;G71&amp;" pack. x $"&amp;TEXT($T71,"#,##0")&amp;" = $"&amp;TEXT(G71*$T71,"#,##0")&amp;CHAR(10),"")&amp;IF(H71&gt;0,"Alfajor Santafesino x7: "&amp;H71&amp;" pack. x $"&amp;TEXT($T71,"#,##0")&amp;" = $"&amp;TEXT(H71*$T71,"#,##0")&amp;CHAR(10),"")&amp;IF(I71&gt;0,"Alfajor Maicena x14: "&amp;I71&amp;" pack. x $"&amp;TEXT($U71,"#,##0")&amp;" = $"&amp;TEXT(I71*$U71,"#,##0")&amp;CHAR(10),"")&amp;IF(J71&gt;0,"Pepas DDL: "&amp;J71&amp;" band. x $"&amp;TEXT($V71,"#,##0")&amp;" = $"&amp;TEXT(J71*$V71,"#,##0")&amp;CHAR(10),"")&amp;IF(K71&gt;0,"Pepas Membrillo: "&amp;K71&amp;" band. x $"&amp;TEXT($V71,"#,##0")&amp;" = $"&amp;TEXT(K71*$V71,"#,##0")&amp;CHAR(10),"")&amp;IF(L71&gt;0,"Pepas Arándano: "&amp;L71&amp;" band. x $"&amp;TEXT($V71,"#,##0")&amp;" = $"&amp;TEXT(L71*$V71,"#,##0")&amp;CHAR(10),"")&amp;IF(M71&gt;0,"Pepas Batata: "&amp;M71&amp;" band. x $"&amp;TEXT($V71,"#,##0")&amp;" = $"&amp;TEXT(M71*$V71,"#,##0")&amp;CHAR(10),"")&amp;IF(N71&gt;0,"Pepas Frutos del Bosque: "&amp;N71&amp;" band. x $"&amp;TEXT($V71,"#,##0")&amp;" = $"&amp;TEXT(N71*$V71,"#,##0")&amp;CHAR(10),"")&amp;"................................."&amp;CHAR(10)&amp;"*TOTAL: $"&amp;TEXT(P71,"#,##0")&amp;"*"&amp;CHAR(10)&amp;CHAR(10)&amp;"¡Gracias por tu pedido! 🙏")</f>
        <v/>
      </c>
      <c r="T71" s="78">
        <f>IF(C71="",Config!$B$5,IF(C71&gt;=Config!$B$2,Config!$C$5,Config!$B$5))</f>
        <v/>
      </c>
      <c r="U71" s="78">
        <f>IF(C71="",Config!$B$8,IF(C71&gt;=Config!$B$2,Config!$C$8,Config!$B$8))</f>
        <v/>
      </c>
      <c r="V71" s="78">
        <f>IF(C71="",Config!$B$9,IF(C71&gt;=Config!$B$2,Config!$C$9,Config!$B$9))</f>
        <v/>
      </c>
    </row>
    <row r="72" ht="60" customHeight="1" s="55">
      <c r="A72" s="72">
        <f>IF(D72="","",ROW()-4)</f>
        <v/>
      </c>
      <c r="B72" s="73" t="n"/>
      <c r="C72" s="73" t="n"/>
      <c r="D72" s="74" t="n"/>
      <c r="E72" s="74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2">
        <f>IF(D72="","",SUM(F72:N72))</f>
        <v/>
      </c>
      <c r="P72" s="76">
        <f>IF(D72="","",(F72+G72+H72)*T72+I72*U72+(J72+K72+L72+M72+N72)*V72)</f>
        <v/>
      </c>
      <c r="Q72" s="74" t="n"/>
      <c r="R72" s="77">
        <f>IF(OR(D72="",O72=0),"","🥮 *NUESTRO ALFAJOR*"&amp;CHAR(10)&amp;"Remito N° "&amp;A72&amp;CHAR(10)&amp;"Fecha entrega: "&amp;TEXT(C72,"DD/MM/YYYY")&amp;CHAR(10)&amp;"Cliente: "&amp;D72&amp;IF(E72&lt;&gt;"",", "&amp;E72,"")&amp;CHAR(10)&amp;"................................."&amp;CHAR(10)&amp;IF(F72&gt;0,"Alfajor Maicena x7: "&amp;F72&amp;" pack. x $"&amp;TEXT($T72,"#,##0")&amp;" = $"&amp;TEXT(F72*$T72,"#,##0")&amp;CHAR(10),"")&amp;IF(G72&gt;0,"Alfajor Frutal x7: "&amp;G72&amp;" pack. x $"&amp;TEXT($T72,"#,##0")&amp;" = $"&amp;TEXT(G72*$T72,"#,##0")&amp;CHAR(10),"")&amp;IF(H72&gt;0,"Alfajor Santafesino x7: "&amp;H72&amp;" pack. x $"&amp;TEXT($T72,"#,##0")&amp;" = $"&amp;TEXT(H72*$T72,"#,##0")&amp;CHAR(10),"")&amp;IF(I72&gt;0,"Alfajor Maicena x14: "&amp;I72&amp;" pack. x $"&amp;TEXT($U72,"#,##0")&amp;" = $"&amp;TEXT(I72*$U72,"#,##0")&amp;CHAR(10),"")&amp;IF(J72&gt;0,"Pepas DDL: "&amp;J72&amp;" band. x $"&amp;TEXT($V72,"#,##0")&amp;" = $"&amp;TEXT(J72*$V72,"#,##0")&amp;CHAR(10),"")&amp;IF(K72&gt;0,"Pepas Membrillo: "&amp;K72&amp;" band. x $"&amp;TEXT($V72,"#,##0")&amp;" = $"&amp;TEXT(K72*$V72,"#,##0")&amp;CHAR(10),"")&amp;IF(L72&gt;0,"Pepas Arándano: "&amp;L72&amp;" band. x $"&amp;TEXT($V72,"#,##0")&amp;" = $"&amp;TEXT(L72*$V72,"#,##0")&amp;CHAR(10),"")&amp;IF(M72&gt;0,"Pepas Batata: "&amp;M72&amp;" band. x $"&amp;TEXT($V72,"#,##0")&amp;" = $"&amp;TEXT(M72*$V72,"#,##0")&amp;CHAR(10),"")&amp;IF(N72&gt;0,"Pepas Frutos del Bosque: "&amp;N72&amp;" band. x $"&amp;TEXT($V72,"#,##0")&amp;" = $"&amp;TEXT(N72*$V72,"#,##0")&amp;CHAR(10),"")&amp;"................................."&amp;CHAR(10)&amp;"*TOTAL: $"&amp;TEXT(P72,"#,##0")&amp;"*"&amp;CHAR(10)&amp;CHAR(10)&amp;"¡Gracias por tu pedido! 🙏")</f>
        <v/>
      </c>
      <c r="T72" s="78">
        <f>IF(C72="",Config!$B$5,IF(C72&gt;=Config!$B$2,Config!$C$5,Config!$B$5))</f>
        <v/>
      </c>
      <c r="U72" s="78">
        <f>IF(C72="",Config!$B$8,IF(C72&gt;=Config!$B$2,Config!$C$8,Config!$B$8))</f>
        <v/>
      </c>
      <c r="V72" s="78">
        <f>IF(C72="",Config!$B$9,IF(C72&gt;=Config!$B$2,Config!$C$9,Config!$B$9))</f>
        <v/>
      </c>
    </row>
    <row r="73" ht="60" customHeight="1" s="55">
      <c r="A73" s="72">
        <f>IF(D73="","",ROW()-4)</f>
        <v/>
      </c>
      <c r="B73" s="73" t="n"/>
      <c r="C73" s="73" t="n"/>
      <c r="D73" s="74" t="n"/>
      <c r="E73" s="74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2">
        <f>IF(D73="","",SUM(F73:N73))</f>
        <v/>
      </c>
      <c r="P73" s="76">
        <f>IF(D73="","",(F73+G73+H73)*T73+I73*U73+(J73+K73+L73+M73+N73)*V73)</f>
        <v/>
      </c>
      <c r="Q73" s="74" t="n"/>
      <c r="R73" s="77">
        <f>IF(OR(D73="",O73=0),"","🥮 *NUESTRO ALFAJOR*"&amp;CHAR(10)&amp;"Remito N° "&amp;A73&amp;CHAR(10)&amp;"Fecha entrega: "&amp;TEXT(C73,"DD/MM/YYYY")&amp;CHAR(10)&amp;"Cliente: "&amp;D73&amp;IF(E73&lt;&gt;"",", "&amp;E73,"")&amp;CHAR(10)&amp;"................................."&amp;CHAR(10)&amp;IF(F73&gt;0,"Alfajor Maicena x7: "&amp;F73&amp;" pack. x $"&amp;TEXT($T73,"#,##0")&amp;" = $"&amp;TEXT(F73*$T73,"#,##0")&amp;CHAR(10),"")&amp;IF(G73&gt;0,"Alfajor Frutal x7: "&amp;G73&amp;" pack. x $"&amp;TEXT($T73,"#,##0")&amp;" = $"&amp;TEXT(G73*$T73,"#,##0")&amp;CHAR(10),"")&amp;IF(H73&gt;0,"Alfajor Santafesino x7: "&amp;H73&amp;" pack. x $"&amp;TEXT($T73,"#,##0")&amp;" = $"&amp;TEXT(H73*$T73,"#,##0")&amp;CHAR(10),"")&amp;IF(I73&gt;0,"Alfajor Maicena x14: "&amp;I73&amp;" pack. x $"&amp;TEXT($U73,"#,##0")&amp;" = $"&amp;TEXT(I73*$U73,"#,##0")&amp;CHAR(10),"")&amp;IF(J73&gt;0,"Pepas DDL: "&amp;J73&amp;" band. x $"&amp;TEXT($V73,"#,##0")&amp;" = $"&amp;TEXT(J73*$V73,"#,##0")&amp;CHAR(10),"")&amp;IF(K73&gt;0,"Pepas Membrillo: "&amp;K73&amp;" band. x $"&amp;TEXT($V73,"#,##0")&amp;" = $"&amp;TEXT(K73*$V73,"#,##0")&amp;CHAR(10),"")&amp;IF(L73&gt;0,"Pepas Arándano: "&amp;L73&amp;" band. x $"&amp;TEXT($V73,"#,##0")&amp;" = $"&amp;TEXT(L73*$V73,"#,##0")&amp;CHAR(10),"")&amp;IF(M73&gt;0,"Pepas Batata: "&amp;M73&amp;" band. x $"&amp;TEXT($V73,"#,##0")&amp;" = $"&amp;TEXT(M73*$V73,"#,##0")&amp;CHAR(10),"")&amp;IF(N73&gt;0,"Pepas Frutos del Bosque: "&amp;N73&amp;" band. x $"&amp;TEXT($V73,"#,##0")&amp;" = $"&amp;TEXT(N73*$V73,"#,##0")&amp;CHAR(10),"")&amp;"................................."&amp;CHAR(10)&amp;"*TOTAL: $"&amp;TEXT(P73,"#,##0")&amp;"*"&amp;CHAR(10)&amp;CHAR(10)&amp;"¡Gracias por tu pedido! 🙏")</f>
        <v/>
      </c>
      <c r="T73" s="78">
        <f>IF(C73="",Config!$B$5,IF(C73&gt;=Config!$B$2,Config!$C$5,Config!$B$5))</f>
        <v/>
      </c>
      <c r="U73" s="78">
        <f>IF(C73="",Config!$B$8,IF(C73&gt;=Config!$B$2,Config!$C$8,Config!$B$8))</f>
        <v/>
      </c>
      <c r="V73" s="78">
        <f>IF(C73="",Config!$B$9,IF(C73&gt;=Config!$B$2,Config!$C$9,Config!$B$9))</f>
        <v/>
      </c>
    </row>
    <row r="74" ht="60" customHeight="1" s="55">
      <c r="A74" s="72">
        <f>IF(D74="","",ROW()-4)</f>
        <v/>
      </c>
      <c r="B74" s="73" t="n"/>
      <c r="C74" s="73" t="n"/>
      <c r="D74" s="74" t="n"/>
      <c r="E74" s="74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2">
        <f>IF(D74="","",SUM(F74:N74))</f>
        <v/>
      </c>
      <c r="P74" s="76">
        <f>IF(D74="","",(F74+G74+H74)*T74+I74*U74+(J74+K74+L74+M74+N74)*V74)</f>
        <v/>
      </c>
      <c r="Q74" s="74" t="n"/>
      <c r="R74" s="77">
        <f>IF(OR(D74="",O74=0),"","🥮 *NUESTRO ALFAJOR*"&amp;CHAR(10)&amp;"Remito N° "&amp;A74&amp;CHAR(10)&amp;"Fecha entrega: "&amp;TEXT(C74,"DD/MM/YYYY")&amp;CHAR(10)&amp;"Cliente: "&amp;D74&amp;IF(E74&lt;&gt;"",", "&amp;E74,"")&amp;CHAR(10)&amp;"................................."&amp;CHAR(10)&amp;IF(F74&gt;0,"Alfajor Maicena x7: "&amp;F74&amp;" pack. x $"&amp;TEXT($T74,"#,##0")&amp;" = $"&amp;TEXT(F74*$T74,"#,##0")&amp;CHAR(10),"")&amp;IF(G74&gt;0,"Alfajor Frutal x7: "&amp;G74&amp;" pack. x $"&amp;TEXT($T74,"#,##0")&amp;" = $"&amp;TEXT(G74*$T74,"#,##0")&amp;CHAR(10),"")&amp;IF(H74&gt;0,"Alfajor Santafesino x7: "&amp;H74&amp;" pack. x $"&amp;TEXT($T74,"#,##0")&amp;" = $"&amp;TEXT(H74*$T74,"#,##0")&amp;CHAR(10),"")&amp;IF(I74&gt;0,"Alfajor Maicena x14: "&amp;I74&amp;" pack. x $"&amp;TEXT($U74,"#,##0")&amp;" = $"&amp;TEXT(I74*$U74,"#,##0")&amp;CHAR(10),"")&amp;IF(J74&gt;0,"Pepas DDL: "&amp;J74&amp;" band. x $"&amp;TEXT($V74,"#,##0")&amp;" = $"&amp;TEXT(J74*$V74,"#,##0")&amp;CHAR(10),"")&amp;IF(K74&gt;0,"Pepas Membrillo: "&amp;K74&amp;" band. x $"&amp;TEXT($V74,"#,##0")&amp;" = $"&amp;TEXT(K74*$V74,"#,##0")&amp;CHAR(10),"")&amp;IF(L74&gt;0,"Pepas Arándano: "&amp;L74&amp;" band. x $"&amp;TEXT($V74,"#,##0")&amp;" = $"&amp;TEXT(L74*$V74,"#,##0")&amp;CHAR(10),"")&amp;IF(M74&gt;0,"Pepas Batata: "&amp;M74&amp;" band. x $"&amp;TEXT($V74,"#,##0")&amp;" = $"&amp;TEXT(M74*$V74,"#,##0")&amp;CHAR(10),"")&amp;IF(N74&gt;0,"Pepas Frutos del Bosque: "&amp;N74&amp;" band. x $"&amp;TEXT($V74,"#,##0")&amp;" = $"&amp;TEXT(N74*$V74,"#,##0")&amp;CHAR(10),"")&amp;"................................."&amp;CHAR(10)&amp;"*TOTAL: $"&amp;TEXT(P74,"#,##0")&amp;"*"&amp;CHAR(10)&amp;CHAR(10)&amp;"¡Gracias por tu pedido! 🙏")</f>
        <v/>
      </c>
      <c r="T74" s="78">
        <f>IF(C74="",Config!$B$5,IF(C74&gt;=Config!$B$2,Config!$C$5,Config!$B$5))</f>
        <v/>
      </c>
      <c r="U74" s="78">
        <f>IF(C74="",Config!$B$8,IF(C74&gt;=Config!$B$2,Config!$C$8,Config!$B$8))</f>
        <v/>
      </c>
      <c r="V74" s="78">
        <f>IF(C74="",Config!$B$9,IF(C74&gt;=Config!$B$2,Config!$C$9,Config!$B$9))</f>
        <v/>
      </c>
    </row>
    <row r="75" ht="60" customHeight="1" s="55">
      <c r="A75" s="72">
        <f>IF(D75="","",ROW()-4)</f>
        <v/>
      </c>
      <c r="B75" s="73" t="n"/>
      <c r="C75" s="73" t="n"/>
      <c r="D75" s="74" t="n"/>
      <c r="E75" s="74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2">
        <f>IF(D75="","",SUM(F75:N75))</f>
        <v/>
      </c>
      <c r="P75" s="76">
        <f>IF(D75="","",(F75+G75+H75)*T75+I75*U75+(J75+K75+L75+M75+N75)*V75)</f>
        <v/>
      </c>
      <c r="Q75" s="74" t="n"/>
      <c r="R75" s="77">
        <f>IF(OR(D75="",O75=0),"","🥮 *NUESTRO ALFAJOR*"&amp;CHAR(10)&amp;"Remito N° "&amp;A75&amp;CHAR(10)&amp;"Fecha entrega: "&amp;TEXT(C75,"DD/MM/YYYY")&amp;CHAR(10)&amp;"Cliente: "&amp;D75&amp;IF(E75&lt;&gt;"",", "&amp;E75,"")&amp;CHAR(10)&amp;"................................."&amp;CHAR(10)&amp;IF(F75&gt;0,"Alfajor Maicena x7: "&amp;F75&amp;" pack. x $"&amp;TEXT($T75,"#,##0")&amp;" = $"&amp;TEXT(F75*$T75,"#,##0")&amp;CHAR(10),"")&amp;IF(G75&gt;0,"Alfajor Frutal x7: "&amp;G75&amp;" pack. x $"&amp;TEXT($T75,"#,##0")&amp;" = $"&amp;TEXT(G75*$T75,"#,##0")&amp;CHAR(10),"")&amp;IF(H75&gt;0,"Alfajor Santafesino x7: "&amp;H75&amp;" pack. x $"&amp;TEXT($T75,"#,##0")&amp;" = $"&amp;TEXT(H75*$T75,"#,##0")&amp;CHAR(10),"")&amp;IF(I75&gt;0,"Alfajor Maicena x14: "&amp;I75&amp;" pack. x $"&amp;TEXT($U75,"#,##0")&amp;" = $"&amp;TEXT(I75*$U75,"#,##0")&amp;CHAR(10),"")&amp;IF(J75&gt;0,"Pepas DDL: "&amp;J75&amp;" band. x $"&amp;TEXT($V75,"#,##0")&amp;" = $"&amp;TEXT(J75*$V75,"#,##0")&amp;CHAR(10),"")&amp;IF(K75&gt;0,"Pepas Membrillo: "&amp;K75&amp;" band. x $"&amp;TEXT($V75,"#,##0")&amp;" = $"&amp;TEXT(K75*$V75,"#,##0")&amp;CHAR(10),"")&amp;IF(L75&gt;0,"Pepas Arándano: "&amp;L75&amp;" band. x $"&amp;TEXT($V75,"#,##0")&amp;" = $"&amp;TEXT(L75*$V75,"#,##0")&amp;CHAR(10),"")&amp;IF(M75&gt;0,"Pepas Batata: "&amp;M75&amp;" band. x $"&amp;TEXT($V75,"#,##0")&amp;" = $"&amp;TEXT(M75*$V75,"#,##0")&amp;CHAR(10),"")&amp;IF(N75&gt;0,"Pepas Frutos del Bosque: "&amp;N75&amp;" band. x $"&amp;TEXT($V75,"#,##0")&amp;" = $"&amp;TEXT(N75*$V75,"#,##0")&amp;CHAR(10),"")&amp;"................................."&amp;CHAR(10)&amp;"*TOTAL: $"&amp;TEXT(P75,"#,##0")&amp;"*"&amp;CHAR(10)&amp;CHAR(10)&amp;"¡Gracias por tu pedido! 🙏")</f>
        <v/>
      </c>
      <c r="T75" s="78">
        <f>IF(C75="",Config!$B$5,IF(C75&gt;=Config!$B$2,Config!$C$5,Config!$B$5))</f>
        <v/>
      </c>
      <c r="U75" s="78">
        <f>IF(C75="",Config!$B$8,IF(C75&gt;=Config!$B$2,Config!$C$8,Config!$B$8))</f>
        <v/>
      </c>
      <c r="V75" s="78">
        <f>IF(C75="",Config!$B$9,IF(C75&gt;=Config!$B$2,Config!$C$9,Config!$B$9))</f>
        <v/>
      </c>
    </row>
    <row r="76" ht="60" customHeight="1" s="55">
      <c r="A76" s="72">
        <f>IF(D76="","",ROW()-4)</f>
        <v/>
      </c>
      <c r="B76" s="73" t="n"/>
      <c r="C76" s="73" t="n"/>
      <c r="D76" s="74" t="n"/>
      <c r="E76" s="74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2">
        <f>IF(D76="","",SUM(F76:N76))</f>
        <v/>
      </c>
      <c r="P76" s="76">
        <f>IF(D76="","",(F76+G76+H76)*T76+I76*U76+(J76+K76+L76+M76+N76)*V76)</f>
        <v/>
      </c>
      <c r="Q76" s="74" t="n"/>
      <c r="R76" s="77">
        <f>IF(OR(D76="",O76=0),"","🥮 *NUESTRO ALFAJOR*"&amp;CHAR(10)&amp;"Remito N° "&amp;A76&amp;CHAR(10)&amp;"Fecha entrega: "&amp;TEXT(C76,"DD/MM/YYYY")&amp;CHAR(10)&amp;"Cliente: "&amp;D76&amp;IF(E76&lt;&gt;"",", "&amp;E76,"")&amp;CHAR(10)&amp;"................................."&amp;CHAR(10)&amp;IF(F76&gt;0,"Alfajor Maicena x7: "&amp;F76&amp;" pack. x $"&amp;TEXT($T76,"#,##0")&amp;" = $"&amp;TEXT(F76*$T76,"#,##0")&amp;CHAR(10),"")&amp;IF(G76&gt;0,"Alfajor Frutal x7: "&amp;G76&amp;" pack. x $"&amp;TEXT($T76,"#,##0")&amp;" = $"&amp;TEXT(G76*$T76,"#,##0")&amp;CHAR(10),"")&amp;IF(H76&gt;0,"Alfajor Santafesino x7: "&amp;H76&amp;" pack. x $"&amp;TEXT($T76,"#,##0")&amp;" = $"&amp;TEXT(H76*$T76,"#,##0")&amp;CHAR(10),"")&amp;IF(I76&gt;0,"Alfajor Maicena x14: "&amp;I76&amp;" pack. x $"&amp;TEXT($U76,"#,##0")&amp;" = $"&amp;TEXT(I76*$U76,"#,##0")&amp;CHAR(10),"")&amp;IF(J76&gt;0,"Pepas DDL: "&amp;J76&amp;" band. x $"&amp;TEXT($V76,"#,##0")&amp;" = $"&amp;TEXT(J76*$V76,"#,##0")&amp;CHAR(10),"")&amp;IF(K76&gt;0,"Pepas Membrillo: "&amp;K76&amp;" band. x $"&amp;TEXT($V76,"#,##0")&amp;" = $"&amp;TEXT(K76*$V76,"#,##0")&amp;CHAR(10),"")&amp;IF(L76&gt;0,"Pepas Arándano: "&amp;L76&amp;" band. x $"&amp;TEXT($V76,"#,##0")&amp;" = $"&amp;TEXT(L76*$V76,"#,##0")&amp;CHAR(10),"")&amp;IF(M76&gt;0,"Pepas Batata: "&amp;M76&amp;" band. x $"&amp;TEXT($V76,"#,##0")&amp;" = $"&amp;TEXT(M76*$V76,"#,##0")&amp;CHAR(10),"")&amp;IF(N76&gt;0,"Pepas Frutos del Bosque: "&amp;N76&amp;" band. x $"&amp;TEXT($V76,"#,##0")&amp;" = $"&amp;TEXT(N76*$V76,"#,##0")&amp;CHAR(10),"")&amp;"................................."&amp;CHAR(10)&amp;"*TOTAL: $"&amp;TEXT(P76,"#,##0")&amp;"*"&amp;CHAR(10)&amp;CHAR(10)&amp;"¡Gracias por tu pedido! 🙏")</f>
        <v/>
      </c>
      <c r="T76" s="78">
        <f>IF(C76="",Config!$B$5,IF(C76&gt;=Config!$B$2,Config!$C$5,Config!$B$5))</f>
        <v/>
      </c>
      <c r="U76" s="78">
        <f>IF(C76="",Config!$B$8,IF(C76&gt;=Config!$B$2,Config!$C$8,Config!$B$8))</f>
        <v/>
      </c>
      <c r="V76" s="78">
        <f>IF(C76="",Config!$B$9,IF(C76&gt;=Config!$B$2,Config!$C$9,Config!$B$9))</f>
        <v/>
      </c>
    </row>
    <row r="77" ht="60" customHeight="1" s="55">
      <c r="A77" s="72">
        <f>IF(D77="","",ROW()-4)</f>
        <v/>
      </c>
      <c r="B77" s="73" t="n"/>
      <c r="C77" s="73" t="n"/>
      <c r="D77" s="74" t="n"/>
      <c r="E77" s="74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2">
        <f>IF(D77="","",SUM(F77:N77))</f>
        <v/>
      </c>
      <c r="P77" s="76">
        <f>IF(D77="","",(F77+G77+H77)*T77+I77*U77+(J77+K77+L77+M77+N77)*V77)</f>
        <v/>
      </c>
      <c r="Q77" s="74" t="n"/>
      <c r="R77" s="77">
        <f>IF(OR(D77="",O77=0),"","🥮 *NUESTRO ALFAJOR*"&amp;CHAR(10)&amp;"Remito N° "&amp;A77&amp;CHAR(10)&amp;"Fecha entrega: "&amp;TEXT(C77,"DD/MM/YYYY")&amp;CHAR(10)&amp;"Cliente: "&amp;D77&amp;IF(E77&lt;&gt;"",", "&amp;E77,"")&amp;CHAR(10)&amp;"................................."&amp;CHAR(10)&amp;IF(F77&gt;0,"Alfajor Maicena x7: "&amp;F77&amp;" pack. x $"&amp;TEXT($T77,"#,##0")&amp;" = $"&amp;TEXT(F77*$T77,"#,##0")&amp;CHAR(10),"")&amp;IF(G77&gt;0,"Alfajor Frutal x7: "&amp;G77&amp;" pack. x $"&amp;TEXT($T77,"#,##0")&amp;" = $"&amp;TEXT(G77*$T77,"#,##0")&amp;CHAR(10),"")&amp;IF(H77&gt;0,"Alfajor Santafesino x7: "&amp;H77&amp;" pack. x $"&amp;TEXT($T77,"#,##0")&amp;" = $"&amp;TEXT(H77*$T77,"#,##0")&amp;CHAR(10),"")&amp;IF(I77&gt;0,"Alfajor Maicena x14: "&amp;I77&amp;" pack. x $"&amp;TEXT($U77,"#,##0")&amp;" = $"&amp;TEXT(I77*$U77,"#,##0")&amp;CHAR(10),"")&amp;IF(J77&gt;0,"Pepas DDL: "&amp;J77&amp;" band. x $"&amp;TEXT($V77,"#,##0")&amp;" = $"&amp;TEXT(J77*$V77,"#,##0")&amp;CHAR(10),"")&amp;IF(K77&gt;0,"Pepas Membrillo: "&amp;K77&amp;" band. x $"&amp;TEXT($V77,"#,##0")&amp;" = $"&amp;TEXT(K77*$V77,"#,##0")&amp;CHAR(10),"")&amp;IF(L77&gt;0,"Pepas Arándano: "&amp;L77&amp;" band. x $"&amp;TEXT($V77,"#,##0")&amp;" = $"&amp;TEXT(L77*$V77,"#,##0")&amp;CHAR(10),"")&amp;IF(M77&gt;0,"Pepas Batata: "&amp;M77&amp;" band. x $"&amp;TEXT($V77,"#,##0")&amp;" = $"&amp;TEXT(M77*$V77,"#,##0")&amp;CHAR(10),"")&amp;IF(N77&gt;0,"Pepas Frutos del Bosque: "&amp;N77&amp;" band. x $"&amp;TEXT($V77,"#,##0")&amp;" = $"&amp;TEXT(N77*$V77,"#,##0")&amp;CHAR(10),"")&amp;"................................."&amp;CHAR(10)&amp;"*TOTAL: $"&amp;TEXT(P77,"#,##0")&amp;"*"&amp;CHAR(10)&amp;CHAR(10)&amp;"¡Gracias por tu pedido! 🙏")</f>
        <v/>
      </c>
      <c r="T77" s="78">
        <f>IF(C77="",Config!$B$5,IF(C77&gt;=Config!$B$2,Config!$C$5,Config!$B$5))</f>
        <v/>
      </c>
      <c r="U77" s="78">
        <f>IF(C77="",Config!$B$8,IF(C77&gt;=Config!$B$2,Config!$C$8,Config!$B$8))</f>
        <v/>
      </c>
      <c r="V77" s="78">
        <f>IF(C77="",Config!$B$9,IF(C77&gt;=Config!$B$2,Config!$C$9,Config!$B$9))</f>
        <v/>
      </c>
    </row>
    <row r="78" ht="60" customHeight="1" s="55">
      <c r="A78" s="72">
        <f>IF(D78="","",ROW()-4)</f>
        <v/>
      </c>
      <c r="B78" s="73" t="n"/>
      <c r="C78" s="73" t="n"/>
      <c r="D78" s="74" t="n"/>
      <c r="E78" s="74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2">
        <f>IF(D78="","",SUM(F78:N78))</f>
        <v/>
      </c>
      <c r="P78" s="76">
        <f>IF(D78="","",(F78+G78+H78)*T78+I78*U78+(J78+K78+L78+M78+N78)*V78)</f>
        <v/>
      </c>
      <c r="Q78" s="74" t="n"/>
      <c r="R78" s="77">
        <f>IF(OR(D78="",O78=0),"","🥮 *NUESTRO ALFAJOR*"&amp;CHAR(10)&amp;"Remito N° "&amp;A78&amp;CHAR(10)&amp;"Fecha entrega: "&amp;TEXT(C78,"DD/MM/YYYY")&amp;CHAR(10)&amp;"Cliente: "&amp;D78&amp;IF(E78&lt;&gt;"",", "&amp;E78,"")&amp;CHAR(10)&amp;"................................."&amp;CHAR(10)&amp;IF(F78&gt;0,"Alfajor Maicena x7: "&amp;F78&amp;" pack. x $"&amp;TEXT($T78,"#,##0")&amp;" = $"&amp;TEXT(F78*$T78,"#,##0")&amp;CHAR(10),"")&amp;IF(G78&gt;0,"Alfajor Frutal x7: "&amp;G78&amp;" pack. x $"&amp;TEXT($T78,"#,##0")&amp;" = $"&amp;TEXT(G78*$T78,"#,##0")&amp;CHAR(10),"")&amp;IF(H78&gt;0,"Alfajor Santafesino x7: "&amp;H78&amp;" pack. x $"&amp;TEXT($T78,"#,##0")&amp;" = $"&amp;TEXT(H78*$T78,"#,##0")&amp;CHAR(10),"")&amp;IF(I78&gt;0,"Alfajor Maicena x14: "&amp;I78&amp;" pack. x $"&amp;TEXT($U78,"#,##0")&amp;" = $"&amp;TEXT(I78*$U78,"#,##0")&amp;CHAR(10),"")&amp;IF(J78&gt;0,"Pepas DDL: "&amp;J78&amp;" band. x $"&amp;TEXT($V78,"#,##0")&amp;" = $"&amp;TEXT(J78*$V78,"#,##0")&amp;CHAR(10),"")&amp;IF(K78&gt;0,"Pepas Membrillo: "&amp;K78&amp;" band. x $"&amp;TEXT($V78,"#,##0")&amp;" = $"&amp;TEXT(K78*$V78,"#,##0")&amp;CHAR(10),"")&amp;IF(L78&gt;0,"Pepas Arándano: "&amp;L78&amp;" band. x $"&amp;TEXT($V78,"#,##0")&amp;" = $"&amp;TEXT(L78*$V78,"#,##0")&amp;CHAR(10),"")&amp;IF(M78&gt;0,"Pepas Batata: "&amp;M78&amp;" band. x $"&amp;TEXT($V78,"#,##0")&amp;" = $"&amp;TEXT(M78*$V78,"#,##0")&amp;CHAR(10),"")&amp;IF(N78&gt;0,"Pepas Frutos del Bosque: "&amp;N78&amp;" band. x $"&amp;TEXT($V78,"#,##0")&amp;" = $"&amp;TEXT(N78*$V78,"#,##0")&amp;CHAR(10),"")&amp;"................................."&amp;CHAR(10)&amp;"*TOTAL: $"&amp;TEXT(P78,"#,##0")&amp;"*"&amp;CHAR(10)&amp;CHAR(10)&amp;"¡Gracias por tu pedido! 🙏")</f>
        <v/>
      </c>
      <c r="T78" s="78">
        <f>IF(C78="",Config!$B$5,IF(C78&gt;=Config!$B$2,Config!$C$5,Config!$B$5))</f>
        <v/>
      </c>
      <c r="U78" s="78">
        <f>IF(C78="",Config!$B$8,IF(C78&gt;=Config!$B$2,Config!$C$8,Config!$B$8))</f>
        <v/>
      </c>
      <c r="V78" s="78">
        <f>IF(C78="",Config!$B$9,IF(C78&gt;=Config!$B$2,Config!$C$9,Config!$B$9))</f>
        <v/>
      </c>
    </row>
    <row r="79" ht="60" customHeight="1" s="55">
      <c r="A79" s="72">
        <f>IF(D79="","",ROW()-4)</f>
        <v/>
      </c>
      <c r="B79" s="73" t="n"/>
      <c r="C79" s="73" t="n"/>
      <c r="D79" s="74" t="n"/>
      <c r="E79" s="74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2">
        <f>IF(D79="","",SUM(F79:N79))</f>
        <v/>
      </c>
      <c r="P79" s="76">
        <f>IF(D79="","",(F79+G79+H79)*T79+I79*U79+(J79+K79+L79+M79+N79)*V79)</f>
        <v/>
      </c>
      <c r="Q79" s="74" t="n"/>
      <c r="R79" s="77">
        <f>IF(OR(D79="",O79=0),"","🥮 *NUESTRO ALFAJOR*"&amp;CHAR(10)&amp;"Remito N° "&amp;A79&amp;CHAR(10)&amp;"Fecha entrega: "&amp;TEXT(C79,"DD/MM/YYYY")&amp;CHAR(10)&amp;"Cliente: "&amp;D79&amp;IF(E79&lt;&gt;"",", "&amp;E79,"")&amp;CHAR(10)&amp;"................................."&amp;CHAR(10)&amp;IF(F79&gt;0,"Alfajor Maicena x7: "&amp;F79&amp;" pack. x $"&amp;TEXT($T79,"#,##0")&amp;" = $"&amp;TEXT(F79*$T79,"#,##0")&amp;CHAR(10),"")&amp;IF(G79&gt;0,"Alfajor Frutal x7: "&amp;G79&amp;" pack. x $"&amp;TEXT($T79,"#,##0")&amp;" = $"&amp;TEXT(G79*$T79,"#,##0")&amp;CHAR(10),"")&amp;IF(H79&gt;0,"Alfajor Santafesino x7: "&amp;H79&amp;" pack. x $"&amp;TEXT($T79,"#,##0")&amp;" = $"&amp;TEXT(H79*$T79,"#,##0")&amp;CHAR(10),"")&amp;IF(I79&gt;0,"Alfajor Maicena x14: "&amp;I79&amp;" pack. x $"&amp;TEXT($U79,"#,##0")&amp;" = $"&amp;TEXT(I79*$U79,"#,##0")&amp;CHAR(10),"")&amp;IF(J79&gt;0,"Pepas DDL: "&amp;J79&amp;" band. x $"&amp;TEXT($V79,"#,##0")&amp;" = $"&amp;TEXT(J79*$V79,"#,##0")&amp;CHAR(10),"")&amp;IF(K79&gt;0,"Pepas Membrillo: "&amp;K79&amp;" band. x $"&amp;TEXT($V79,"#,##0")&amp;" = $"&amp;TEXT(K79*$V79,"#,##0")&amp;CHAR(10),"")&amp;IF(L79&gt;0,"Pepas Arándano: "&amp;L79&amp;" band. x $"&amp;TEXT($V79,"#,##0")&amp;" = $"&amp;TEXT(L79*$V79,"#,##0")&amp;CHAR(10),"")&amp;IF(M79&gt;0,"Pepas Batata: "&amp;M79&amp;" band. x $"&amp;TEXT($V79,"#,##0")&amp;" = $"&amp;TEXT(M79*$V79,"#,##0")&amp;CHAR(10),"")&amp;IF(N79&gt;0,"Pepas Frutos del Bosque: "&amp;N79&amp;" band. x $"&amp;TEXT($V79,"#,##0")&amp;" = $"&amp;TEXT(N79*$V79,"#,##0")&amp;CHAR(10),"")&amp;"................................."&amp;CHAR(10)&amp;"*TOTAL: $"&amp;TEXT(P79,"#,##0")&amp;"*"&amp;CHAR(10)&amp;CHAR(10)&amp;"¡Gracias por tu pedido! 🙏")</f>
        <v/>
      </c>
      <c r="T79" s="78">
        <f>IF(C79="",Config!$B$5,IF(C79&gt;=Config!$B$2,Config!$C$5,Config!$B$5))</f>
        <v/>
      </c>
      <c r="U79" s="78">
        <f>IF(C79="",Config!$B$8,IF(C79&gt;=Config!$B$2,Config!$C$8,Config!$B$8))</f>
        <v/>
      </c>
      <c r="V79" s="78">
        <f>IF(C79="",Config!$B$9,IF(C79&gt;=Config!$B$2,Config!$C$9,Config!$B$9))</f>
        <v/>
      </c>
    </row>
    <row r="80" ht="60" customHeight="1" s="55">
      <c r="A80" s="72">
        <f>IF(D80="","",ROW()-4)</f>
        <v/>
      </c>
      <c r="B80" s="73" t="n"/>
      <c r="C80" s="73" t="n"/>
      <c r="D80" s="74" t="n"/>
      <c r="E80" s="74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2">
        <f>IF(D80="","",SUM(F80:N80))</f>
        <v/>
      </c>
      <c r="P80" s="76">
        <f>IF(D80="","",(F80+G80+H80)*T80+I80*U80+(J80+K80+L80+M80+N80)*V80)</f>
        <v/>
      </c>
      <c r="Q80" s="74" t="n"/>
      <c r="R80" s="77">
        <f>IF(OR(D80="",O80=0),"","🥮 *NUESTRO ALFAJOR*"&amp;CHAR(10)&amp;"Remito N° "&amp;A80&amp;CHAR(10)&amp;"Fecha entrega: "&amp;TEXT(C80,"DD/MM/YYYY")&amp;CHAR(10)&amp;"Cliente: "&amp;D80&amp;IF(E80&lt;&gt;"",", "&amp;E80,"")&amp;CHAR(10)&amp;"................................."&amp;CHAR(10)&amp;IF(F80&gt;0,"Alfajor Maicena x7: "&amp;F80&amp;" pack. x $"&amp;TEXT($T80,"#,##0")&amp;" = $"&amp;TEXT(F80*$T80,"#,##0")&amp;CHAR(10),"")&amp;IF(G80&gt;0,"Alfajor Frutal x7: "&amp;G80&amp;" pack. x $"&amp;TEXT($T80,"#,##0")&amp;" = $"&amp;TEXT(G80*$T80,"#,##0")&amp;CHAR(10),"")&amp;IF(H80&gt;0,"Alfajor Santafesino x7: "&amp;H80&amp;" pack. x $"&amp;TEXT($T80,"#,##0")&amp;" = $"&amp;TEXT(H80*$T80,"#,##0")&amp;CHAR(10),"")&amp;IF(I80&gt;0,"Alfajor Maicena x14: "&amp;I80&amp;" pack. x $"&amp;TEXT($U80,"#,##0")&amp;" = $"&amp;TEXT(I80*$U80,"#,##0")&amp;CHAR(10),"")&amp;IF(J80&gt;0,"Pepas DDL: "&amp;J80&amp;" band. x $"&amp;TEXT($V80,"#,##0")&amp;" = $"&amp;TEXT(J80*$V80,"#,##0")&amp;CHAR(10),"")&amp;IF(K80&gt;0,"Pepas Membrillo: "&amp;K80&amp;" band. x $"&amp;TEXT($V80,"#,##0")&amp;" = $"&amp;TEXT(K80*$V80,"#,##0")&amp;CHAR(10),"")&amp;IF(L80&gt;0,"Pepas Arándano: "&amp;L80&amp;" band. x $"&amp;TEXT($V80,"#,##0")&amp;" = $"&amp;TEXT(L80*$V80,"#,##0")&amp;CHAR(10),"")&amp;IF(M80&gt;0,"Pepas Batata: "&amp;M80&amp;" band. x $"&amp;TEXT($V80,"#,##0")&amp;" = $"&amp;TEXT(M80*$V80,"#,##0")&amp;CHAR(10),"")&amp;IF(N80&gt;0,"Pepas Frutos del Bosque: "&amp;N80&amp;" band. x $"&amp;TEXT($V80,"#,##0")&amp;" = $"&amp;TEXT(N80*$V80,"#,##0")&amp;CHAR(10),"")&amp;"................................."&amp;CHAR(10)&amp;"*TOTAL: $"&amp;TEXT(P80,"#,##0")&amp;"*"&amp;CHAR(10)&amp;CHAR(10)&amp;"¡Gracias por tu pedido! 🙏")</f>
        <v/>
      </c>
      <c r="T80" s="78">
        <f>IF(C80="",Config!$B$5,IF(C80&gt;=Config!$B$2,Config!$C$5,Config!$B$5))</f>
        <v/>
      </c>
      <c r="U80" s="78">
        <f>IF(C80="",Config!$B$8,IF(C80&gt;=Config!$B$2,Config!$C$8,Config!$B$8))</f>
        <v/>
      </c>
      <c r="V80" s="78">
        <f>IF(C80="",Config!$B$9,IF(C80&gt;=Config!$B$2,Config!$C$9,Config!$B$9))</f>
        <v/>
      </c>
    </row>
    <row r="81" ht="60" customHeight="1" s="55">
      <c r="A81" s="72">
        <f>IF(D81="","",ROW()-4)</f>
        <v/>
      </c>
      <c r="B81" s="73" t="n"/>
      <c r="C81" s="73" t="n"/>
      <c r="D81" s="74" t="n"/>
      <c r="E81" s="74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2">
        <f>IF(D81="","",SUM(F81:N81))</f>
        <v/>
      </c>
      <c r="P81" s="76">
        <f>IF(D81="","",(F81+G81+H81)*T81+I81*U81+(J81+K81+L81+M81+N81)*V81)</f>
        <v/>
      </c>
      <c r="Q81" s="74" t="n"/>
      <c r="R81" s="77">
        <f>IF(OR(D81="",O81=0),"","🥮 *NUESTRO ALFAJOR*"&amp;CHAR(10)&amp;"Remito N° "&amp;A81&amp;CHAR(10)&amp;"Fecha entrega: "&amp;TEXT(C81,"DD/MM/YYYY")&amp;CHAR(10)&amp;"Cliente: "&amp;D81&amp;IF(E81&lt;&gt;"",", "&amp;E81,"")&amp;CHAR(10)&amp;"................................."&amp;CHAR(10)&amp;IF(F81&gt;0,"Alfajor Maicena x7: "&amp;F81&amp;" pack. x $"&amp;TEXT($T81,"#,##0")&amp;" = $"&amp;TEXT(F81*$T81,"#,##0")&amp;CHAR(10),"")&amp;IF(G81&gt;0,"Alfajor Frutal x7: "&amp;G81&amp;" pack. x $"&amp;TEXT($T81,"#,##0")&amp;" = $"&amp;TEXT(G81*$T81,"#,##0")&amp;CHAR(10),"")&amp;IF(H81&gt;0,"Alfajor Santafesino x7: "&amp;H81&amp;" pack. x $"&amp;TEXT($T81,"#,##0")&amp;" = $"&amp;TEXT(H81*$T81,"#,##0")&amp;CHAR(10),"")&amp;IF(I81&gt;0,"Alfajor Maicena x14: "&amp;I81&amp;" pack. x $"&amp;TEXT($U81,"#,##0")&amp;" = $"&amp;TEXT(I81*$U81,"#,##0")&amp;CHAR(10),"")&amp;IF(J81&gt;0,"Pepas DDL: "&amp;J81&amp;" band. x $"&amp;TEXT($V81,"#,##0")&amp;" = $"&amp;TEXT(J81*$V81,"#,##0")&amp;CHAR(10),"")&amp;IF(K81&gt;0,"Pepas Membrillo: "&amp;K81&amp;" band. x $"&amp;TEXT($V81,"#,##0")&amp;" = $"&amp;TEXT(K81*$V81,"#,##0")&amp;CHAR(10),"")&amp;IF(L81&gt;0,"Pepas Arándano: "&amp;L81&amp;" band. x $"&amp;TEXT($V81,"#,##0")&amp;" = $"&amp;TEXT(L81*$V81,"#,##0")&amp;CHAR(10),"")&amp;IF(M81&gt;0,"Pepas Batata: "&amp;M81&amp;" band. x $"&amp;TEXT($V81,"#,##0")&amp;" = $"&amp;TEXT(M81*$V81,"#,##0")&amp;CHAR(10),"")&amp;IF(N81&gt;0,"Pepas Frutos del Bosque: "&amp;N81&amp;" band. x $"&amp;TEXT($V81,"#,##0")&amp;" = $"&amp;TEXT(N81*$V81,"#,##0")&amp;CHAR(10),"")&amp;"................................."&amp;CHAR(10)&amp;"*TOTAL: $"&amp;TEXT(P81,"#,##0")&amp;"*"&amp;CHAR(10)&amp;CHAR(10)&amp;"¡Gracias por tu pedido! 🙏")</f>
        <v/>
      </c>
      <c r="T81" s="78">
        <f>IF(C81="",Config!$B$5,IF(C81&gt;=Config!$B$2,Config!$C$5,Config!$B$5))</f>
        <v/>
      </c>
      <c r="U81" s="78">
        <f>IF(C81="",Config!$B$8,IF(C81&gt;=Config!$B$2,Config!$C$8,Config!$B$8))</f>
        <v/>
      </c>
      <c r="V81" s="78">
        <f>IF(C81="",Config!$B$9,IF(C81&gt;=Config!$B$2,Config!$C$9,Config!$B$9))</f>
        <v/>
      </c>
    </row>
    <row r="82" ht="60" customHeight="1" s="55">
      <c r="A82" s="72">
        <f>IF(D82="","",ROW()-4)</f>
        <v/>
      </c>
      <c r="B82" s="73" t="n"/>
      <c r="C82" s="73" t="n"/>
      <c r="D82" s="74" t="n"/>
      <c r="E82" s="74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2">
        <f>IF(D82="","",SUM(F82:N82))</f>
        <v/>
      </c>
      <c r="P82" s="76">
        <f>IF(D82="","",(F82+G82+H82)*T82+I82*U82+(J82+K82+L82+M82+N82)*V82)</f>
        <v/>
      </c>
      <c r="Q82" s="74" t="n"/>
      <c r="R82" s="77">
        <f>IF(OR(D82="",O82=0),"","🥮 *NUESTRO ALFAJOR*"&amp;CHAR(10)&amp;"Remito N° "&amp;A82&amp;CHAR(10)&amp;"Fecha entrega: "&amp;TEXT(C82,"DD/MM/YYYY")&amp;CHAR(10)&amp;"Cliente: "&amp;D82&amp;IF(E82&lt;&gt;"",", "&amp;E82,"")&amp;CHAR(10)&amp;"................................."&amp;CHAR(10)&amp;IF(F82&gt;0,"Alfajor Maicena x7: "&amp;F82&amp;" pack. x $"&amp;TEXT($T82,"#,##0")&amp;" = $"&amp;TEXT(F82*$T82,"#,##0")&amp;CHAR(10),"")&amp;IF(G82&gt;0,"Alfajor Frutal x7: "&amp;G82&amp;" pack. x $"&amp;TEXT($T82,"#,##0")&amp;" = $"&amp;TEXT(G82*$T82,"#,##0")&amp;CHAR(10),"")&amp;IF(H82&gt;0,"Alfajor Santafesino x7: "&amp;H82&amp;" pack. x $"&amp;TEXT($T82,"#,##0")&amp;" = $"&amp;TEXT(H82*$T82,"#,##0")&amp;CHAR(10),"")&amp;IF(I82&gt;0,"Alfajor Maicena x14: "&amp;I82&amp;" pack. x $"&amp;TEXT($U82,"#,##0")&amp;" = $"&amp;TEXT(I82*$U82,"#,##0")&amp;CHAR(10),"")&amp;IF(J82&gt;0,"Pepas DDL: "&amp;J82&amp;" band. x $"&amp;TEXT($V82,"#,##0")&amp;" = $"&amp;TEXT(J82*$V82,"#,##0")&amp;CHAR(10),"")&amp;IF(K82&gt;0,"Pepas Membrillo: "&amp;K82&amp;" band. x $"&amp;TEXT($V82,"#,##0")&amp;" = $"&amp;TEXT(K82*$V82,"#,##0")&amp;CHAR(10),"")&amp;IF(L82&gt;0,"Pepas Arándano: "&amp;L82&amp;" band. x $"&amp;TEXT($V82,"#,##0")&amp;" = $"&amp;TEXT(L82*$V82,"#,##0")&amp;CHAR(10),"")&amp;IF(M82&gt;0,"Pepas Batata: "&amp;M82&amp;" band. x $"&amp;TEXT($V82,"#,##0")&amp;" = $"&amp;TEXT(M82*$V82,"#,##0")&amp;CHAR(10),"")&amp;IF(N82&gt;0,"Pepas Frutos del Bosque: "&amp;N82&amp;" band. x $"&amp;TEXT($V82,"#,##0")&amp;" = $"&amp;TEXT(N82*$V82,"#,##0")&amp;CHAR(10),"")&amp;"................................."&amp;CHAR(10)&amp;"*TOTAL: $"&amp;TEXT(P82,"#,##0")&amp;"*"&amp;CHAR(10)&amp;CHAR(10)&amp;"¡Gracias por tu pedido! 🙏")</f>
        <v/>
      </c>
      <c r="T82" s="78">
        <f>IF(C82="",Config!$B$5,IF(C82&gt;=Config!$B$2,Config!$C$5,Config!$B$5))</f>
        <v/>
      </c>
      <c r="U82" s="78">
        <f>IF(C82="",Config!$B$8,IF(C82&gt;=Config!$B$2,Config!$C$8,Config!$B$8))</f>
        <v/>
      </c>
      <c r="V82" s="78">
        <f>IF(C82="",Config!$B$9,IF(C82&gt;=Config!$B$2,Config!$C$9,Config!$B$9))</f>
        <v/>
      </c>
    </row>
    <row r="83" ht="60" customHeight="1" s="55">
      <c r="A83" s="72">
        <f>IF(D83="","",ROW()-4)</f>
        <v/>
      </c>
      <c r="B83" s="73" t="n"/>
      <c r="C83" s="73" t="n"/>
      <c r="D83" s="74" t="n"/>
      <c r="E83" s="74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2">
        <f>IF(D83="","",SUM(F83:N83))</f>
        <v/>
      </c>
      <c r="P83" s="76">
        <f>IF(D83="","",(F83+G83+H83)*T83+I83*U83+(J83+K83+L83+M83+N83)*V83)</f>
        <v/>
      </c>
      <c r="Q83" s="74" t="n"/>
      <c r="R83" s="77">
        <f>IF(OR(D83="",O83=0),"","🥮 *NUESTRO ALFAJOR*"&amp;CHAR(10)&amp;"Remito N° "&amp;A83&amp;CHAR(10)&amp;"Fecha entrega: "&amp;TEXT(C83,"DD/MM/YYYY")&amp;CHAR(10)&amp;"Cliente: "&amp;D83&amp;IF(E83&lt;&gt;"",", "&amp;E83,"")&amp;CHAR(10)&amp;"................................."&amp;CHAR(10)&amp;IF(F83&gt;0,"Alfajor Maicena x7: "&amp;F83&amp;" pack. x $"&amp;TEXT($T83,"#,##0")&amp;" = $"&amp;TEXT(F83*$T83,"#,##0")&amp;CHAR(10),"")&amp;IF(G83&gt;0,"Alfajor Frutal x7: "&amp;G83&amp;" pack. x $"&amp;TEXT($T83,"#,##0")&amp;" = $"&amp;TEXT(G83*$T83,"#,##0")&amp;CHAR(10),"")&amp;IF(H83&gt;0,"Alfajor Santafesino x7: "&amp;H83&amp;" pack. x $"&amp;TEXT($T83,"#,##0")&amp;" = $"&amp;TEXT(H83*$T83,"#,##0")&amp;CHAR(10),"")&amp;IF(I83&gt;0,"Alfajor Maicena x14: "&amp;I83&amp;" pack. x $"&amp;TEXT($U83,"#,##0")&amp;" = $"&amp;TEXT(I83*$U83,"#,##0")&amp;CHAR(10),"")&amp;IF(J83&gt;0,"Pepas DDL: "&amp;J83&amp;" band. x $"&amp;TEXT($V83,"#,##0")&amp;" = $"&amp;TEXT(J83*$V83,"#,##0")&amp;CHAR(10),"")&amp;IF(K83&gt;0,"Pepas Membrillo: "&amp;K83&amp;" band. x $"&amp;TEXT($V83,"#,##0")&amp;" = $"&amp;TEXT(K83*$V83,"#,##0")&amp;CHAR(10),"")&amp;IF(L83&gt;0,"Pepas Arándano: "&amp;L83&amp;" band. x $"&amp;TEXT($V83,"#,##0")&amp;" = $"&amp;TEXT(L83*$V83,"#,##0")&amp;CHAR(10),"")&amp;IF(M83&gt;0,"Pepas Batata: "&amp;M83&amp;" band. x $"&amp;TEXT($V83,"#,##0")&amp;" = $"&amp;TEXT(M83*$V83,"#,##0")&amp;CHAR(10),"")&amp;IF(N83&gt;0,"Pepas Frutos del Bosque: "&amp;N83&amp;" band. x $"&amp;TEXT($V83,"#,##0")&amp;" = $"&amp;TEXT(N83*$V83,"#,##0")&amp;CHAR(10),"")&amp;"................................."&amp;CHAR(10)&amp;"*TOTAL: $"&amp;TEXT(P83,"#,##0")&amp;"*"&amp;CHAR(10)&amp;CHAR(10)&amp;"¡Gracias por tu pedido! 🙏")</f>
        <v/>
      </c>
      <c r="T83" s="78">
        <f>IF(C83="",Config!$B$5,IF(C83&gt;=Config!$B$2,Config!$C$5,Config!$B$5))</f>
        <v/>
      </c>
      <c r="U83" s="78">
        <f>IF(C83="",Config!$B$8,IF(C83&gt;=Config!$B$2,Config!$C$8,Config!$B$8))</f>
        <v/>
      </c>
      <c r="V83" s="78">
        <f>IF(C83="",Config!$B$9,IF(C83&gt;=Config!$B$2,Config!$C$9,Config!$B$9))</f>
        <v/>
      </c>
    </row>
    <row r="84" ht="60" customHeight="1" s="55">
      <c r="A84" s="72">
        <f>IF(D84="","",ROW()-4)</f>
        <v/>
      </c>
      <c r="B84" s="73" t="n"/>
      <c r="C84" s="73" t="n"/>
      <c r="D84" s="74" t="n"/>
      <c r="E84" s="74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2">
        <f>IF(D84="","",SUM(F84:N84))</f>
        <v/>
      </c>
      <c r="P84" s="76">
        <f>IF(D84="","",(F84+G84+H84)*T84+I84*U84+(J84+K84+L84+M84+N84)*V84)</f>
        <v/>
      </c>
      <c r="Q84" s="74" t="n"/>
      <c r="R84" s="77">
        <f>IF(OR(D84="",O84=0),"","🥮 *NUESTRO ALFAJOR*"&amp;CHAR(10)&amp;"Remito N° "&amp;A84&amp;CHAR(10)&amp;"Fecha entrega: "&amp;TEXT(C84,"DD/MM/YYYY")&amp;CHAR(10)&amp;"Cliente: "&amp;D84&amp;IF(E84&lt;&gt;"",", "&amp;E84,"")&amp;CHAR(10)&amp;"................................."&amp;CHAR(10)&amp;IF(F84&gt;0,"Alfajor Maicena x7: "&amp;F84&amp;" pack. x $"&amp;TEXT($T84,"#,##0")&amp;" = $"&amp;TEXT(F84*$T84,"#,##0")&amp;CHAR(10),"")&amp;IF(G84&gt;0,"Alfajor Frutal x7: "&amp;G84&amp;" pack. x $"&amp;TEXT($T84,"#,##0")&amp;" = $"&amp;TEXT(G84*$T84,"#,##0")&amp;CHAR(10),"")&amp;IF(H84&gt;0,"Alfajor Santafesino x7: "&amp;H84&amp;" pack. x $"&amp;TEXT($T84,"#,##0")&amp;" = $"&amp;TEXT(H84*$T84,"#,##0")&amp;CHAR(10),"")&amp;IF(I84&gt;0,"Alfajor Maicena x14: "&amp;I84&amp;" pack. x $"&amp;TEXT($U84,"#,##0")&amp;" = $"&amp;TEXT(I84*$U84,"#,##0")&amp;CHAR(10),"")&amp;IF(J84&gt;0,"Pepas DDL: "&amp;J84&amp;" band. x $"&amp;TEXT($V84,"#,##0")&amp;" = $"&amp;TEXT(J84*$V84,"#,##0")&amp;CHAR(10),"")&amp;IF(K84&gt;0,"Pepas Membrillo: "&amp;K84&amp;" band. x $"&amp;TEXT($V84,"#,##0")&amp;" = $"&amp;TEXT(K84*$V84,"#,##0")&amp;CHAR(10),"")&amp;IF(L84&gt;0,"Pepas Arándano: "&amp;L84&amp;" band. x $"&amp;TEXT($V84,"#,##0")&amp;" = $"&amp;TEXT(L84*$V84,"#,##0")&amp;CHAR(10),"")&amp;IF(M84&gt;0,"Pepas Batata: "&amp;M84&amp;" band. x $"&amp;TEXT($V84,"#,##0")&amp;" = $"&amp;TEXT(M84*$V84,"#,##0")&amp;CHAR(10),"")&amp;IF(N84&gt;0,"Pepas Frutos del Bosque: "&amp;N84&amp;" band. x $"&amp;TEXT($V84,"#,##0")&amp;" = $"&amp;TEXT(N84*$V84,"#,##0")&amp;CHAR(10),"")&amp;"................................."&amp;CHAR(10)&amp;"*TOTAL: $"&amp;TEXT(P84,"#,##0")&amp;"*"&amp;CHAR(10)&amp;CHAR(10)&amp;"¡Gracias por tu pedido! 🙏")</f>
        <v/>
      </c>
      <c r="T84" s="78">
        <f>IF(C84="",Config!$B$5,IF(C84&gt;=Config!$B$2,Config!$C$5,Config!$B$5))</f>
        <v/>
      </c>
      <c r="U84" s="78">
        <f>IF(C84="",Config!$B$8,IF(C84&gt;=Config!$B$2,Config!$C$8,Config!$B$8))</f>
        <v/>
      </c>
      <c r="V84" s="78">
        <f>IF(C84="",Config!$B$9,IF(C84&gt;=Config!$B$2,Config!$C$9,Config!$B$9))</f>
        <v/>
      </c>
    </row>
    <row r="85" ht="60" customHeight="1" s="55">
      <c r="A85" s="72">
        <f>IF(D85="","",ROW()-4)</f>
        <v/>
      </c>
      <c r="B85" s="73" t="n"/>
      <c r="C85" s="73" t="n"/>
      <c r="D85" s="74" t="n"/>
      <c r="E85" s="74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2">
        <f>IF(D85="","",SUM(F85:N85))</f>
        <v/>
      </c>
      <c r="P85" s="76">
        <f>IF(D85="","",(F85+G85+H85)*T85+I85*U85+(J85+K85+L85+M85+N85)*V85)</f>
        <v/>
      </c>
      <c r="Q85" s="74" t="n"/>
      <c r="R85" s="77">
        <f>IF(OR(D85="",O85=0),"","🥮 *NUESTRO ALFAJOR*"&amp;CHAR(10)&amp;"Remito N° "&amp;A85&amp;CHAR(10)&amp;"Fecha entrega: "&amp;TEXT(C85,"DD/MM/YYYY")&amp;CHAR(10)&amp;"Cliente: "&amp;D85&amp;IF(E85&lt;&gt;"",", "&amp;E85,"")&amp;CHAR(10)&amp;"................................."&amp;CHAR(10)&amp;IF(F85&gt;0,"Alfajor Maicena x7: "&amp;F85&amp;" pack. x $"&amp;TEXT($T85,"#,##0")&amp;" = $"&amp;TEXT(F85*$T85,"#,##0")&amp;CHAR(10),"")&amp;IF(G85&gt;0,"Alfajor Frutal x7: "&amp;G85&amp;" pack. x $"&amp;TEXT($T85,"#,##0")&amp;" = $"&amp;TEXT(G85*$T85,"#,##0")&amp;CHAR(10),"")&amp;IF(H85&gt;0,"Alfajor Santafesino x7: "&amp;H85&amp;" pack. x $"&amp;TEXT($T85,"#,##0")&amp;" = $"&amp;TEXT(H85*$T85,"#,##0")&amp;CHAR(10),"")&amp;IF(I85&gt;0,"Alfajor Maicena x14: "&amp;I85&amp;" pack. x $"&amp;TEXT($U85,"#,##0")&amp;" = $"&amp;TEXT(I85*$U85,"#,##0")&amp;CHAR(10),"")&amp;IF(J85&gt;0,"Pepas DDL: "&amp;J85&amp;" band. x $"&amp;TEXT($V85,"#,##0")&amp;" = $"&amp;TEXT(J85*$V85,"#,##0")&amp;CHAR(10),"")&amp;IF(K85&gt;0,"Pepas Membrillo: "&amp;K85&amp;" band. x $"&amp;TEXT($V85,"#,##0")&amp;" = $"&amp;TEXT(K85*$V85,"#,##0")&amp;CHAR(10),"")&amp;IF(L85&gt;0,"Pepas Arándano: "&amp;L85&amp;" band. x $"&amp;TEXT($V85,"#,##0")&amp;" = $"&amp;TEXT(L85*$V85,"#,##0")&amp;CHAR(10),"")&amp;IF(M85&gt;0,"Pepas Batata: "&amp;M85&amp;" band. x $"&amp;TEXT($V85,"#,##0")&amp;" = $"&amp;TEXT(M85*$V85,"#,##0")&amp;CHAR(10),"")&amp;IF(N85&gt;0,"Pepas Frutos del Bosque: "&amp;N85&amp;" band. x $"&amp;TEXT($V85,"#,##0")&amp;" = $"&amp;TEXT(N85*$V85,"#,##0")&amp;CHAR(10),"")&amp;"................................."&amp;CHAR(10)&amp;"*TOTAL: $"&amp;TEXT(P85,"#,##0")&amp;"*"&amp;CHAR(10)&amp;CHAR(10)&amp;"¡Gracias por tu pedido! 🙏")</f>
        <v/>
      </c>
      <c r="T85" s="78">
        <f>IF(C85="",Config!$B$5,IF(C85&gt;=Config!$B$2,Config!$C$5,Config!$B$5))</f>
        <v/>
      </c>
      <c r="U85" s="78">
        <f>IF(C85="",Config!$B$8,IF(C85&gt;=Config!$B$2,Config!$C$8,Config!$B$8))</f>
        <v/>
      </c>
      <c r="V85" s="78">
        <f>IF(C85="",Config!$B$9,IF(C85&gt;=Config!$B$2,Config!$C$9,Config!$B$9))</f>
        <v/>
      </c>
    </row>
    <row r="86" ht="60" customHeight="1" s="55">
      <c r="A86" s="72">
        <f>IF(D86="","",ROW()-4)</f>
        <v/>
      </c>
      <c r="B86" s="73" t="n"/>
      <c r="C86" s="73" t="n"/>
      <c r="D86" s="74" t="n"/>
      <c r="E86" s="74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2">
        <f>IF(D86="","",SUM(F86:N86))</f>
        <v/>
      </c>
      <c r="P86" s="76">
        <f>IF(D86="","",(F86+G86+H86)*T86+I86*U86+(J86+K86+L86+M86+N86)*V86)</f>
        <v/>
      </c>
      <c r="Q86" s="74" t="n"/>
      <c r="R86" s="77">
        <f>IF(OR(D86="",O86=0),"","🥮 *NUESTRO ALFAJOR*"&amp;CHAR(10)&amp;"Remito N° "&amp;A86&amp;CHAR(10)&amp;"Fecha entrega: "&amp;TEXT(C86,"DD/MM/YYYY")&amp;CHAR(10)&amp;"Cliente: "&amp;D86&amp;IF(E86&lt;&gt;"",", "&amp;E86,"")&amp;CHAR(10)&amp;"................................."&amp;CHAR(10)&amp;IF(F86&gt;0,"Alfajor Maicena x7: "&amp;F86&amp;" pack. x $"&amp;TEXT($T86,"#,##0")&amp;" = $"&amp;TEXT(F86*$T86,"#,##0")&amp;CHAR(10),"")&amp;IF(G86&gt;0,"Alfajor Frutal x7: "&amp;G86&amp;" pack. x $"&amp;TEXT($T86,"#,##0")&amp;" = $"&amp;TEXT(G86*$T86,"#,##0")&amp;CHAR(10),"")&amp;IF(H86&gt;0,"Alfajor Santafesino x7: "&amp;H86&amp;" pack. x $"&amp;TEXT($T86,"#,##0")&amp;" = $"&amp;TEXT(H86*$T86,"#,##0")&amp;CHAR(10),"")&amp;IF(I86&gt;0,"Alfajor Maicena x14: "&amp;I86&amp;" pack. x $"&amp;TEXT($U86,"#,##0")&amp;" = $"&amp;TEXT(I86*$U86,"#,##0")&amp;CHAR(10),"")&amp;IF(J86&gt;0,"Pepas DDL: "&amp;J86&amp;" band. x $"&amp;TEXT($V86,"#,##0")&amp;" = $"&amp;TEXT(J86*$V86,"#,##0")&amp;CHAR(10),"")&amp;IF(K86&gt;0,"Pepas Membrillo: "&amp;K86&amp;" band. x $"&amp;TEXT($V86,"#,##0")&amp;" = $"&amp;TEXT(K86*$V86,"#,##0")&amp;CHAR(10),"")&amp;IF(L86&gt;0,"Pepas Arándano: "&amp;L86&amp;" band. x $"&amp;TEXT($V86,"#,##0")&amp;" = $"&amp;TEXT(L86*$V86,"#,##0")&amp;CHAR(10),"")&amp;IF(M86&gt;0,"Pepas Batata: "&amp;M86&amp;" band. x $"&amp;TEXT($V86,"#,##0")&amp;" = $"&amp;TEXT(M86*$V86,"#,##0")&amp;CHAR(10),"")&amp;IF(N86&gt;0,"Pepas Frutos del Bosque: "&amp;N86&amp;" band. x $"&amp;TEXT($V86,"#,##0")&amp;" = $"&amp;TEXT(N86*$V86,"#,##0")&amp;CHAR(10),"")&amp;"................................."&amp;CHAR(10)&amp;"*TOTAL: $"&amp;TEXT(P86,"#,##0")&amp;"*"&amp;CHAR(10)&amp;CHAR(10)&amp;"¡Gracias por tu pedido! 🙏")</f>
        <v/>
      </c>
      <c r="T86" s="78">
        <f>IF(C86="",Config!$B$5,IF(C86&gt;=Config!$B$2,Config!$C$5,Config!$B$5))</f>
        <v/>
      </c>
      <c r="U86" s="78">
        <f>IF(C86="",Config!$B$8,IF(C86&gt;=Config!$B$2,Config!$C$8,Config!$B$8))</f>
        <v/>
      </c>
      <c r="V86" s="78">
        <f>IF(C86="",Config!$B$9,IF(C86&gt;=Config!$B$2,Config!$C$9,Config!$B$9))</f>
        <v/>
      </c>
    </row>
    <row r="87" ht="60" customHeight="1" s="55">
      <c r="A87" s="72">
        <f>IF(D87="","",ROW()-4)</f>
        <v/>
      </c>
      <c r="B87" s="73" t="n"/>
      <c r="C87" s="73" t="n"/>
      <c r="D87" s="74" t="n"/>
      <c r="E87" s="74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2">
        <f>IF(D87="","",SUM(F87:N87))</f>
        <v/>
      </c>
      <c r="P87" s="76">
        <f>IF(D87="","",(F87+G87+H87)*T87+I87*U87+(J87+K87+L87+M87+N87)*V87)</f>
        <v/>
      </c>
      <c r="Q87" s="74" t="n"/>
      <c r="R87" s="77">
        <f>IF(OR(D87="",O87=0),"","🥮 *NUESTRO ALFAJOR*"&amp;CHAR(10)&amp;"Remito N° "&amp;A87&amp;CHAR(10)&amp;"Fecha entrega: "&amp;TEXT(C87,"DD/MM/YYYY")&amp;CHAR(10)&amp;"Cliente: "&amp;D87&amp;IF(E87&lt;&gt;"",", "&amp;E87,"")&amp;CHAR(10)&amp;"................................."&amp;CHAR(10)&amp;IF(F87&gt;0,"Alfajor Maicena x7: "&amp;F87&amp;" pack. x $"&amp;TEXT($T87,"#,##0")&amp;" = $"&amp;TEXT(F87*$T87,"#,##0")&amp;CHAR(10),"")&amp;IF(G87&gt;0,"Alfajor Frutal x7: "&amp;G87&amp;" pack. x $"&amp;TEXT($T87,"#,##0")&amp;" = $"&amp;TEXT(G87*$T87,"#,##0")&amp;CHAR(10),"")&amp;IF(H87&gt;0,"Alfajor Santafesino x7: "&amp;H87&amp;" pack. x $"&amp;TEXT($T87,"#,##0")&amp;" = $"&amp;TEXT(H87*$T87,"#,##0")&amp;CHAR(10),"")&amp;IF(I87&gt;0,"Alfajor Maicena x14: "&amp;I87&amp;" pack. x $"&amp;TEXT($U87,"#,##0")&amp;" = $"&amp;TEXT(I87*$U87,"#,##0")&amp;CHAR(10),"")&amp;IF(J87&gt;0,"Pepas DDL: "&amp;J87&amp;" band. x $"&amp;TEXT($V87,"#,##0")&amp;" = $"&amp;TEXT(J87*$V87,"#,##0")&amp;CHAR(10),"")&amp;IF(K87&gt;0,"Pepas Membrillo: "&amp;K87&amp;" band. x $"&amp;TEXT($V87,"#,##0")&amp;" = $"&amp;TEXT(K87*$V87,"#,##0")&amp;CHAR(10),"")&amp;IF(L87&gt;0,"Pepas Arándano: "&amp;L87&amp;" band. x $"&amp;TEXT($V87,"#,##0")&amp;" = $"&amp;TEXT(L87*$V87,"#,##0")&amp;CHAR(10),"")&amp;IF(M87&gt;0,"Pepas Batata: "&amp;M87&amp;" band. x $"&amp;TEXT($V87,"#,##0")&amp;" = $"&amp;TEXT(M87*$V87,"#,##0")&amp;CHAR(10),"")&amp;IF(N87&gt;0,"Pepas Frutos del Bosque: "&amp;N87&amp;" band. x $"&amp;TEXT($V87,"#,##0")&amp;" = $"&amp;TEXT(N87*$V87,"#,##0")&amp;CHAR(10),"")&amp;"................................."&amp;CHAR(10)&amp;"*TOTAL: $"&amp;TEXT(P87,"#,##0")&amp;"*"&amp;CHAR(10)&amp;CHAR(10)&amp;"¡Gracias por tu pedido! 🙏")</f>
        <v/>
      </c>
      <c r="T87" s="78">
        <f>IF(C87="",Config!$B$5,IF(C87&gt;=Config!$B$2,Config!$C$5,Config!$B$5))</f>
        <v/>
      </c>
      <c r="U87" s="78">
        <f>IF(C87="",Config!$B$8,IF(C87&gt;=Config!$B$2,Config!$C$8,Config!$B$8))</f>
        <v/>
      </c>
      <c r="V87" s="78">
        <f>IF(C87="",Config!$B$9,IF(C87&gt;=Config!$B$2,Config!$C$9,Config!$B$9))</f>
        <v/>
      </c>
    </row>
    <row r="88" ht="60" customHeight="1" s="55">
      <c r="A88" s="72">
        <f>IF(D88="","",ROW()-4)</f>
        <v/>
      </c>
      <c r="B88" s="73" t="n"/>
      <c r="C88" s="73" t="n"/>
      <c r="D88" s="74" t="n"/>
      <c r="E88" s="74" t="n"/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2">
        <f>IF(D88="","",SUM(F88:N88))</f>
        <v/>
      </c>
      <c r="P88" s="76">
        <f>IF(D88="","",(F88+G88+H88)*T88+I88*U88+(J88+K88+L88+M88+N88)*V88)</f>
        <v/>
      </c>
      <c r="Q88" s="74" t="n"/>
      <c r="R88" s="77">
        <f>IF(OR(D88="",O88=0),"","🥮 *NUESTRO ALFAJOR*"&amp;CHAR(10)&amp;"Remito N° "&amp;A88&amp;CHAR(10)&amp;"Fecha entrega: "&amp;TEXT(C88,"DD/MM/YYYY")&amp;CHAR(10)&amp;"Cliente: "&amp;D88&amp;IF(E88&lt;&gt;"",", "&amp;E88,"")&amp;CHAR(10)&amp;"................................."&amp;CHAR(10)&amp;IF(F88&gt;0,"Alfajor Maicena x7: "&amp;F88&amp;" pack. x $"&amp;TEXT($T88,"#,##0")&amp;" = $"&amp;TEXT(F88*$T88,"#,##0")&amp;CHAR(10),"")&amp;IF(G88&gt;0,"Alfajor Frutal x7: "&amp;G88&amp;" pack. x $"&amp;TEXT($T88,"#,##0")&amp;" = $"&amp;TEXT(G88*$T88,"#,##0")&amp;CHAR(10),"")&amp;IF(H88&gt;0,"Alfajor Santafesino x7: "&amp;H88&amp;" pack. x $"&amp;TEXT($T88,"#,##0")&amp;" = $"&amp;TEXT(H88*$T88,"#,##0")&amp;CHAR(10),"")&amp;IF(I88&gt;0,"Alfajor Maicena x14: "&amp;I88&amp;" pack. x $"&amp;TEXT($U88,"#,##0")&amp;" = $"&amp;TEXT(I88*$U88,"#,##0")&amp;CHAR(10),"")&amp;IF(J88&gt;0,"Pepas DDL: "&amp;J88&amp;" band. x $"&amp;TEXT($V88,"#,##0")&amp;" = $"&amp;TEXT(J88*$V88,"#,##0")&amp;CHAR(10),"")&amp;IF(K88&gt;0,"Pepas Membrillo: "&amp;K88&amp;" band. x $"&amp;TEXT($V88,"#,##0")&amp;" = $"&amp;TEXT(K88*$V88,"#,##0")&amp;CHAR(10),"")&amp;IF(L88&gt;0,"Pepas Arándano: "&amp;L88&amp;" band. x $"&amp;TEXT($V88,"#,##0")&amp;" = $"&amp;TEXT(L88*$V88,"#,##0")&amp;CHAR(10),"")&amp;IF(M88&gt;0,"Pepas Batata: "&amp;M88&amp;" band. x $"&amp;TEXT($V88,"#,##0")&amp;" = $"&amp;TEXT(M88*$V88,"#,##0")&amp;CHAR(10),"")&amp;IF(N88&gt;0,"Pepas Frutos del Bosque: "&amp;N88&amp;" band. x $"&amp;TEXT($V88,"#,##0")&amp;" = $"&amp;TEXT(N88*$V88,"#,##0")&amp;CHAR(10),"")&amp;"................................."&amp;CHAR(10)&amp;"*TOTAL: $"&amp;TEXT(P88,"#,##0")&amp;"*"&amp;CHAR(10)&amp;CHAR(10)&amp;"¡Gracias por tu pedido! 🙏")</f>
        <v/>
      </c>
      <c r="T88" s="78">
        <f>IF(C88="",Config!$B$5,IF(C88&gt;=Config!$B$2,Config!$C$5,Config!$B$5))</f>
        <v/>
      </c>
      <c r="U88" s="78">
        <f>IF(C88="",Config!$B$8,IF(C88&gt;=Config!$B$2,Config!$C$8,Config!$B$8))</f>
        <v/>
      </c>
      <c r="V88" s="78">
        <f>IF(C88="",Config!$B$9,IF(C88&gt;=Config!$B$2,Config!$C$9,Config!$B$9))</f>
        <v/>
      </c>
    </row>
    <row r="89" ht="60" customHeight="1" s="55">
      <c r="A89" s="72">
        <f>IF(D89="","",ROW()-4)</f>
        <v/>
      </c>
      <c r="B89" s="73" t="n"/>
      <c r="C89" s="73" t="n"/>
      <c r="D89" s="74" t="n"/>
      <c r="E89" s="74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2">
        <f>IF(D89="","",SUM(F89:N89))</f>
        <v/>
      </c>
      <c r="P89" s="76">
        <f>IF(D89="","",(F89+G89+H89)*T89+I89*U89+(J89+K89+L89+M89+N89)*V89)</f>
        <v/>
      </c>
      <c r="Q89" s="74" t="n"/>
      <c r="R89" s="77">
        <f>IF(OR(D89="",O89=0),"","🥮 *NUESTRO ALFAJOR*"&amp;CHAR(10)&amp;"Remito N° "&amp;A89&amp;CHAR(10)&amp;"Fecha entrega: "&amp;TEXT(C89,"DD/MM/YYYY")&amp;CHAR(10)&amp;"Cliente: "&amp;D89&amp;IF(E89&lt;&gt;"",", "&amp;E89,"")&amp;CHAR(10)&amp;"................................."&amp;CHAR(10)&amp;IF(F89&gt;0,"Alfajor Maicena x7: "&amp;F89&amp;" pack. x $"&amp;TEXT($T89,"#,##0")&amp;" = $"&amp;TEXT(F89*$T89,"#,##0")&amp;CHAR(10),"")&amp;IF(G89&gt;0,"Alfajor Frutal x7: "&amp;G89&amp;" pack. x $"&amp;TEXT($T89,"#,##0")&amp;" = $"&amp;TEXT(G89*$T89,"#,##0")&amp;CHAR(10),"")&amp;IF(H89&gt;0,"Alfajor Santafesino x7: "&amp;H89&amp;" pack. x $"&amp;TEXT($T89,"#,##0")&amp;" = $"&amp;TEXT(H89*$T89,"#,##0")&amp;CHAR(10),"")&amp;IF(I89&gt;0,"Alfajor Maicena x14: "&amp;I89&amp;" pack. x $"&amp;TEXT($U89,"#,##0")&amp;" = $"&amp;TEXT(I89*$U89,"#,##0")&amp;CHAR(10),"")&amp;IF(J89&gt;0,"Pepas DDL: "&amp;J89&amp;" band. x $"&amp;TEXT($V89,"#,##0")&amp;" = $"&amp;TEXT(J89*$V89,"#,##0")&amp;CHAR(10),"")&amp;IF(K89&gt;0,"Pepas Membrillo: "&amp;K89&amp;" band. x $"&amp;TEXT($V89,"#,##0")&amp;" = $"&amp;TEXT(K89*$V89,"#,##0")&amp;CHAR(10),"")&amp;IF(L89&gt;0,"Pepas Arándano: "&amp;L89&amp;" band. x $"&amp;TEXT($V89,"#,##0")&amp;" = $"&amp;TEXT(L89*$V89,"#,##0")&amp;CHAR(10),"")&amp;IF(M89&gt;0,"Pepas Batata: "&amp;M89&amp;" band. x $"&amp;TEXT($V89,"#,##0")&amp;" = $"&amp;TEXT(M89*$V89,"#,##0")&amp;CHAR(10),"")&amp;IF(N89&gt;0,"Pepas Frutos del Bosque: "&amp;N89&amp;" band. x $"&amp;TEXT($V89,"#,##0")&amp;" = $"&amp;TEXT(N89*$V89,"#,##0")&amp;CHAR(10),"")&amp;"................................."&amp;CHAR(10)&amp;"*TOTAL: $"&amp;TEXT(P89,"#,##0")&amp;"*"&amp;CHAR(10)&amp;CHAR(10)&amp;"¡Gracias por tu pedido! 🙏")</f>
        <v/>
      </c>
      <c r="T89" s="78">
        <f>IF(C89="",Config!$B$5,IF(C89&gt;=Config!$B$2,Config!$C$5,Config!$B$5))</f>
        <v/>
      </c>
      <c r="U89" s="78">
        <f>IF(C89="",Config!$B$8,IF(C89&gt;=Config!$B$2,Config!$C$8,Config!$B$8))</f>
        <v/>
      </c>
      <c r="V89" s="78">
        <f>IF(C89="",Config!$B$9,IF(C89&gt;=Config!$B$2,Config!$C$9,Config!$B$9))</f>
        <v/>
      </c>
    </row>
    <row r="90" ht="60" customHeight="1" s="55">
      <c r="A90" s="72">
        <f>IF(D90="","",ROW()-4)</f>
        <v/>
      </c>
      <c r="B90" s="73" t="n"/>
      <c r="C90" s="73" t="n"/>
      <c r="D90" s="74" t="n"/>
      <c r="E90" s="74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2">
        <f>IF(D90="","",SUM(F90:N90))</f>
        <v/>
      </c>
      <c r="P90" s="76">
        <f>IF(D90="","",(F90+G90+H90)*T90+I90*U90+(J90+K90+L90+M90+N90)*V90)</f>
        <v/>
      </c>
      <c r="Q90" s="74" t="n"/>
      <c r="R90" s="77">
        <f>IF(OR(D90="",O90=0),"","🥮 *NUESTRO ALFAJOR*"&amp;CHAR(10)&amp;"Remito N° "&amp;A90&amp;CHAR(10)&amp;"Fecha entrega: "&amp;TEXT(C90,"DD/MM/YYYY")&amp;CHAR(10)&amp;"Cliente: "&amp;D90&amp;IF(E90&lt;&gt;"",", "&amp;E90,"")&amp;CHAR(10)&amp;"................................."&amp;CHAR(10)&amp;IF(F90&gt;0,"Alfajor Maicena x7: "&amp;F90&amp;" pack. x $"&amp;TEXT($T90,"#,##0")&amp;" = $"&amp;TEXT(F90*$T90,"#,##0")&amp;CHAR(10),"")&amp;IF(G90&gt;0,"Alfajor Frutal x7: "&amp;G90&amp;" pack. x $"&amp;TEXT($T90,"#,##0")&amp;" = $"&amp;TEXT(G90*$T90,"#,##0")&amp;CHAR(10),"")&amp;IF(H90&gt;0,"Alfajor Santafesino x7: "&amp;H90&amp;" pack. x $"&amp;TEXT($T90,"#,##0")&amp;" = $"&amp;TEXT(H90*$T90,"#,##0")&amp;CHAR(10),"")&amp;IF(I90&gt;0,"Alfajor Maicena x14: "&amp;I90&amp;" pack. x $"&amp;TEXT($U90,"#,##0")&amp;" = $"&amp;TEXT(I90*$U90,"#,##0")&amp;CHAR(10),"")&amp;IF(J90&gt;0,"Pepas DDL: "&amp;J90&amp;" band. x $"&amp;TEXT($V90,"#,##0")&amp;" = $"&amp;TEXT(J90*$V90,"#,##0")&amp;CHAR(10),"")&amp;IF(K90&gt;0,"Pepas Membrillo: "&amp;K90&amp;" band. x $"&amp;TEXT($V90,"#,##0")&amp;" = $"&amp;TEXT(K90*$V90,"#,##0")&amp;CHAR(10),"")&amp;IF(L90&gt;0,"Pepas Arándano: "&amp;L90&amp;" band. x $"&amp;TEXT($V90,"#,##0")&amp;" = $"&amp;TEXT(L90*$V90,"#,##0")&amp;CHAR(10),"")&amp;IF(M90&gt;0,"Pepas Batata: "&amp;M90&amp;" band. x $"&amp;TEXT($V90,"#,##0")&amp;" = $"&amp;TEXT(M90*$V90,"#,##0")&amp;CHAR(10),"")&amp;IF(N90&gt;0,"Pepas Frutos del Bosque: "&amp;N90&amp;" band. x $"&amp;TEXT($V90,"#,##0")&amp;" = $"&amp;TEXT(N90*$V90,"#,##0")&amp;CHAR(10),"")&amp;"................................."&amp;CHAR(10)&amp;"*TOTAL: $"&amp;TEXT(P90,"#,##0")&amp;"*"&amp;CHAR(10)&amp;CHAR(10)&amp;"¡Gracias por tu pedido! 🙏")</f>
        <v/>
      </c>
      <c r="T90" s="78">
        <f>IF(C90="",Config!$B$5,IF(C90&gt;=Config!$B$2,Config!$C$5,Config!$B$5))</f>
        <v/>
      </c>
      <c r="U90" s="78">
        <f>IF(C90="",Config!$B$8,IF(C90&gt;=Config!$B$2,Config!$C$8,Config!$B$8))</f>
        <v/>
      </c>
      <c r="V90" s="78">
        <f>IF(C90="",Config!$B$9,IF(C90&gt;=Config!$B$2,Config!$C$9,Config!$B$9))</f>
        <v/>
      </c>
    </row>
    <row r="91" ht="60" customHeight="1" s="55">
      <c r="A91" s="72">
        <f>IF(D91="","",ROW()-4)</f>
        <v/>
      </c>
      <c r="B91" s="73" t="n"/>
      <c r="C91" s="73" t="n"/>
      <c r="D91" s="74" t="n"/>
      <c r="E91" s="74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2">
        <f>IF(D91="","",SUM(F91:N91))</f>
        <v/>
      </c>
      <c r="P91" s="76">
        <f>IF(D91="","",(F91+G91+H91)*T91+I91*U91+(J91+K91+L91+M91+N91)*V91)</f>
        <v/>
      </c>
      <c r="Q91" s="74" t="n"/>
      <c r="R91" s="77">
        <f>IF(OR(D91="",O91=0),"","🥮 *NUESTRO ALFAJOR*"&amp;CHAR(10)&amp;"Remito N° "&amp;A91&amp;CHAR(10)&amp;"Fecha entrega: "&amp;TEXT(C91,"DD/MM/YYYY")&amp;CHAR(10)&amp;"Cliente: "&amp;D91&amp;IF(E91&lt;&gt;"",", "&amp;E91,"")&amp;CHAR(10)&amp;"................................."&amp;CHAR(10)&amp;IF(F91&gt;0,"Alfajor Maicena x7: "&amp;F91&amp;" pack. x $"&amp;TEXT($T91,"#,##0")&amp;" = $"&amp;TEXT(F91*$T91,"#,##0")&amp;CHAR(10),"")&amp;IF(G91&gt;0,"Alfajor Frutal x7: "&amp;G91&amp;" pack. x $"&amp;TEXT($T91,"#,##0")&amp;" = $"&amp;TEXT(G91*$T91,"#,##0")&amp;CHAR(10),"")&amp;IF(H91&gt;0,"Alfajor Santafesino x7: "&amp;H91&amp;" pack. x $"&amp;TEXT($T91,"#,##0")&amp;" = $"&amp;TEXT(H91*$T91,"#,##0")&amp;CHAR(10),"")&amp;IF(I91&gt;0,"Alfajor Maicena x14: "&amp;I91&amp;" pack. x $"&amp;TEXT($U91,"#,##0")&amp;" = $"&amp;TEXT(I91*$U91,"#,##0")&amp;CHAR(10),"")&amp;IF(J91&gt;0,"Pepas DDL: "&amp;J91&amp;" band. x $"&amp;TEXT($V91,"#,##0")&amp;" = $"&amp;TEXT(J91*$V91,"#,##0")&amp;CHAR(10),"")&amp;IF(K91&gt;0,"Pepas Membrillo: "&amp;K91&amp;" band. x $"&amp;TEXT($V91,"#,##0")&amp;" = $"&amp;TEXT(K91*$V91,"#,##0")&amp;CHAR(10),"")&amp;IF(L91&gt;0,"Pepas Arándano: "&amp;L91&amp;" band. x $"&amp;TEXT($V91,"#,##0")&amp;" = $"&amp;TEXT(L91*$V91,"#,##0")&amp;CHAR(10),"")&amp;IF(M91&gt;0,"Pepas Batata: "&amp;M91&amp;" band. x $"&amp;TEXT($V91,"#,##0")&amp;" = $"&amp;TEXT(M91*$V91,"#,##0")&amp;CHAR(10),"")&amp;IF(N91&gt;0,"Pepas Frutos del Bosque: "&amp;N91&amp;" band. x $"&amp;TEXT($V91,"#,##0")&amp;" = $"&amp;TEXT(N91*$V91,"#,##0")&amp;CHAR(10),"")&amp;"................................."&amp;CHAR(10)&amp;"*TOTAL: $"&amp;TEXT(P91,"#,##0")&amp;"*"&amp;CHAR(10)&amp;CHAR(10)&amp;"¡Gracias por tu pedido! 🙏")</f>
        <v/>
      </c>
      <c r="T91" s="78">
        <f>IF(C91="",Config!$B$5,IF(C91&gt;=Config!$B$2,Config!$C$5,Config!$B$5))</f>
        <v/>
      </c>
      <c r="U91" s="78">
        <f>IF(C91="",Config!$B$8,IF(C91&gt;=Config!$B$2,Config!$C$8,Config!$B$8))</f>
        <v/>
      </c>
      <c r="V91" s="78">
        <f>IF(C91="",Config!$B$9,IF(C91&gt;=Config!$B$2,Config!$C$9,Config!$B$9))</f>
        <v/>
      </c>
    </row>
    <row r="92" ht="60" customHeight="1" s="55">
      <c r="A92" s="72">
        <f>IF(D92="","",ROW()-4)</f>
        <v/>
      </c>
      <c r="B92" s="73" t="n"/>
      <c r="C92" s="73" t="n"/>
      <c r="D92" s="74" t="n"/>
      <c r="E92" s="74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2">
        <f>IF(D92="","",SUM(F92:N92))</f>
        <v/>
      </c>
      <c r="P92" s="76">
        <f>IF(D92="","",(F92+G92+H92)*T92+I92*U92+(J92+K92+L92+M92+N92)*V92)</f>
        <v/>
      </c>
      <c r="Q92" s="74" t="n"/>
      <c r="R92" s="77">
        <f>IF(OR(D92="",O92=0),"","🥮 *NUESTRO ALFAJOR*"&amp;CHAR(10)&amp;"Remito N° "&amp;A92&amp;CHAR(10)&amp;"Fecha entrega: "&amp;TEXT(C92,"DD/MM/YYYY")&amp;CHAR(10)&amp;"Cliente: "&amp;D92&amp;IF(E92&lt;&gt;"",", "&amp;E92,"")&amp;CHAR(10)&amp;"................................."&amp;CHAR(10)&amp;IF(F92&gt;0,"Alfajor Maicena x7: "&amp;F92&amp;" pack. x $"&amp;TEXT($T92,"#,##0")&amp;" = $"&amp;TEXT(F92*$T92,"#,##0")&amp;CHAR(10),"")&amp;IF(G92&gt;0,"Alfajor Frutal x7: "&amp;G92&amp;" pack. x $"&amp;TEXT($T92,"#,##0")&amp;" = $"&amp;TEXT(G92*$T92,"#,##0")&amp;CHAR(10),"")&amp;IF(H92&gt;0,"Alfajor Santafesino x7: "&amp;H92&amp;" pack. x $"&amp;TEXT($T92,"#,##0")&amp;" = $"&amp;TEXT(H92*$T92,"#,##0")&amp;CHAR(10),"")&amp;IF(I92&gt;0,"Alfajor Maicena x14: "&amp;I92&amp;" pack. x $"&amp;TEXT($U92,"#,##0")&amp;" = $"&amp;TEXT(I92*$U92,"#,##0")&amp;CHAR(10),"")&amp;IF(J92&gt;0,"Pepas DDL: "&amp;J92&amp;" band. x $"&amp;TEXT($V92,"#,##0")&amp;" = $"&amp;TEXT(J92*$V92,"#,##0")&amp;CHAR(10),"")&amp;IF(K92&gt;0,"Pepas Membrillo: "&amp;K92&amp;" band. x $"&amp;TEXT($V92,"#,##0")&amp;" = $"&amp;TEXT(K92*$V92,"#,##0")&amp;CHAR(10),"")&amp;IF(L92&gt;0,"Pepas Arándano: "&amp;L92&amp;" band. x $"&amp;TEXT($V92,"#,##0")&amp;" = $"&amp;TEXT(L92*$V92,"#,##0")&amp;CHAR(10),"")&amp;IF(M92&gt;0,"Pepas Batata: "&amp;M92&amp;" band. x $"&amp;TEXT($V92,"#,##0")&amp;" = $"&amp;TEXT(M92*$V92,"#,##0")&amp;CHAR(10),"")&amp;IF(N92&gt;0,"Pepas Frutos del Bosque: "&amp;N92&amp;" band. x $"&amp;TEXT($V92,"#,##0")&amp;" = $"&amp;TEXT(N92*$V92,"#,##0")&amp;CHAR(10),"")&amp;"................................."&amp;CHAR(10)&amp;"*TOTAL: $"&amp;TEXT(P92,"#,##0")&amp;"*"&amp;CHAR(10)&amp;CHAR(10)&amp;"¡Gracias por tu pedido! 🙏")</f>
        <v/>
      </c>
      <c r="T92" s="78">
        <f>IF(C92="",Config!$B$5,IF(C92&gt;=Config!$B$2,Config!$C$5,Config!$B$5))</f>
        <v/>
      </c>
      <c r="U92" s="78">
        <f>IF(C92="",Config!$B$8,IF(C92&gt;=Config!$B$2,Config!$C$8,Config!$B$8))</f>
        <v/>
      </c>
      <c r="V92" s="78">
        <f>IF(C92="",Config!$B$9,IF(C92&gt;=Config!$B$2,Config!$C$9,Config!$B$9))</f>
        <v/>
      </c>
    </row>
    <row r="93" ht="60" customHeight="1" s="55">
      <c r="A93" s="72">
        <f>IF(D93="","",ROW()-4)</f>
        <v/>
      </c>
      <c r="B93" s="73" t="n"/>
      <c r="C93" s="73" t="n"/>
      <c r="D93" s="74" t="n"/>
      <c r="E93" s="74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2">
        <f>IF(D93="","",SUM(F93:N93))</f>
        <v/>
      </c>
      <c r="P93" s="76">
        <f>IF(D93="","",(F93+G93+H93)*T93+I93*U93+(J93+K93+L93+M93+N93)*V93)</f>
        <v/>
      </c>
      <c r="Q93" s="74" t="n"/>
      <c r="R93" s="77">
        <f>IF(OR(D93="",O93=0),"","🥮 *NUESTRO ALFAJOR*"&amp;CHAR(10)&amp;"Remito N° "&amp;A93&amp;CHAR(10)&amp;"Fecha entrega: "&amp;TEXT(C93,"DD/MM/YYYY")&amp;CHAR(10)&amp;"Cliente: "&amp;D93&amp;IF(E93&lt;&gt;"",", "&amp;E93,"")&amp;CHAR(10)&amp;"................................."&amp;CHAR(10)&amp;IF(F93&gt;0,"Alfajor Maicena x7: "&amp;F93&amp;" pack. x $"&amp;TEXT($T93,"#,##0")&amp;" = $"&amp;TEXT(F93*$T93,"#,##0")&amp;CHAR(10),"")&amp;IF(G93&gt;0,"Alfajor Frutal x7: "&amp;G93&amp;" pack. x $"&amp;TEXT($T93,"#,##0")&amp;" = $"&amp;TEXT(G93*$T93,"#,##0")&amp;CHAR(10),"")&amp;IF(H93&gt;0,"Alfajor Santafesino x7: "&amp;H93&amp;" pack. x $"&amp;TEXT($T93,"#,##0")&amp;" = $"&amp;TEXT(H93*$T93,"#,##0")&amp;CHAR(10),"")&amp;IF(I93&gt;0,"Alfajor Maicena x14: "&amp;I93&amp;" pack. x $"&amp;TEXT($U93,"#,##0")&amp;" = $"&amp;TEXT(I93*$U93,"#,##0")&amp;CHAR(10),"")&amp;IF(J93&gt;0,"Pepas DDL: "&amp;J93&amp;" band. x $"&amp;TEXT($V93,"#,##0")&amp;" = $"&amp;TEXT(J93*$V93,"#,##0")&amp;CHAR(10),"")&amp;IF(K93&gt;0,"Pepas Membrillo: "&amp;K93&amp;" band. x $"&amp;TEXT($V93,"#,##0")&amp;" = $"&amp;TEXT(K93*$V93,"#,##0")&amp;CHAR(10),"")&amp;IF(L93&gt;0,"Pepas Arándano: "&amp;L93&amp;" band. x $"&amp;TEXT($V93,"#,##0")&amp;" = $"&amp;TEXT(L93*$V93,"#,##0")&amp;CHAR(10),"")&amp;IF(M93&gt;0,"Pepas Batata: "&amp;M93&amp;" band. x $"&amp;TEXT($V93,"#,##0")&amp;" = $"&amp;TEXT(M93*$V93,"#,##0")&amp;CHAR(10),"")&amp;IF(N93&gt;0,"Pepas Frutos del Bosque: "&amp;N93&amp;" band. x $"&amp;TEXT($V93,"#,##0")&amp;" = $"&amp;TEXT(N93*$V93,"#,##0")&amp;CHAR(10),"")&amp;"................................."&amp;CHAR(10)&amp;"*TOTAL: $"&amp;TEXT(P93,"#,##0")&amp;"*"&amp;CHAR(10)&amp;CHAR(10)&amp;"¡Gracias por tu pedido! 🙏")</f>
        <v/>
      </c>
      <c r="T93" s="78">
        <f>IF(C93="",Config!$B$5,IF(C93&gt;=Config!$B$2,Config!$C$5,Config!$B$5))</f>
        <v/>
      </c>
      <c r="U93" s="78">
        <f>IF(C93="",Config!$B$8,IF(C93&gt;=Config!$B$2,Config!$C$8,Config!$B$8))</f>
        <v/>
      </c>
      <c r="V93" s="78">
        <f>IF(C93="",Config!$B$9,IF(C93&gt;=Config!$B$2,Config!$C$9,Config!$B$9))</f>
        <v/>
      </c>
    </row>
    <row r="94" ht="60" customHeight="1" s="55">
      <c r="A94" s="72">
        <f>IF(D94="","",ROW()-4)</f>
        <v/>
      </c>
      <c r="B94" s="73" t="n"/>
      <c r="C94" s="73" t="n"/>
      <c r="D94" s="74" t="n"/>
      <c r="E94" s="74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2">
        <f>IF(D94="","",SUM(F94:N94))</f>
        <v/>
      </c>
      <c r="P94" s="76">
        <f>IF(D94="","",(F94+G94+H94)*T94+I94*U94+(J94+K94+L94+M94+N94)*V94)</f>
        <v/>
      </c>
      <c r="Q94" s="74" t="n"/>
      <c r="R94" s="77">
        <f>IF(OR(D94="",O94=0),"","🥮 *NUESTRO ALFAJOR*"&amp;CHAR(10)&amp;"Remito N° "&amp;A94&amp;CHAR(10)&amp;"Fecha entrega: "&amp;TEXT(C94,"DD/MM/YYYY")&amp;CHAR(10)&amp;"Cliente: "&amp;D94&amp;IF(E94&lt;&gt;"",", "&amp;E94,"")&amp;CHAR(10)&amp;"................................."&amp;CHAR(10)&amp;IF(F94&gt;0,"Alfajor Maicena x7: "&amp;F94&amp;" pack. x $"&amp;TEXT($T94,"#,##0")&amp;" = $"&amp;TEXT(F94*$T94,"#,##0")&amp;CHAR(10),"")&amp;IF(G94&gt;0,"Alfajor Frutal x7: "&amp;G94&amp;" pack. x $"&amp;TEXT($T94,"#,##0")&amp;" = $"&amp;TEXT(G94*$T94,"#,##0")&amp;CHAR(10),"")&amp;IF(H94&gt;0,"Alfajor Santafesino x7: "&amp;H94&amp;" pack. x $"&amp;TEXT($T94,"#,##0")&amp;" = $"&amp;TEXT(H94*$T94,"#,##0")&amp;CHAR(10),"")&amp;IF(I94&gt;0,"Alfajor Maicena x14: "&amp;I94&amp;" pack. x $"&amp;TEXT($U94,"#,##0")&amp;" = $"&amp;TEXT(I94*$U94,"#,##0")&amp;CHAR(10),"")&amp;IF(J94&gt;0,"Pepas DDL: "&amp;J94&amp;" band. x $"&amp;TEXT($V94,"#,##0")&amp;" = $"&amp;TEXT(J94*$V94,"#,##0")&amp;CHAR(10),"")&amp;IF(K94&gt;0,"Pepas Membrillo: "&amp;K94&amp;" band. x $"&amp;TEXT($V94,"#,##0")&amp;" = $"&amp;TEXT(K94*$V94,"#,##0")&amp;CHAR(10),"")&amp;IF(L94&gt;0,"Pepas Arándano: "&amp;L94&amp;" band. x $"&amp;TEXT($V94,"#,##0")&amp;" = $"&amp;TEXT(L94*$V94,"#,##0")&amp;CHAR(10),"")&amp;IF(M94&gt;0,"Pepas Batata: "&amp;M94&amp;" band. x $"&amp;TEXT($V94,"#,##0")&amp;" = $"&amp;TEXT(M94*$V94,"#,##0")&amp;CHAR(10),"")&amp;IF(N94&gt;0,"Pepas Frutos del Bosque: "&amp;N94&amp;" band. x $"&amp;TEXT($V94,"#,##0")&amp;" = $"&amp;TEXT(N94*$V94,"#,##0")&amp;CHAR(10),"")&amp;"................................."&amp;CHAR(10)&amp;"*TOTAL: $"&amp;TEXT(P94,"#,##0")&amp;"*"&amp;CHAR(10)&amp;CHAR(10)&amp;"¡Gracias por tu pedido! 🙏")</f>
        <v/>
      </c>
      <c r="T94" s="78">
        <f>IF(C94="",Config!$B$5,IF(C94&gt;=Config!$B$2,Config!$C$5,Config!$B$5))</f>
        <v/>
      </c>
      <c r="U94" s="78">
        <f>IF(C94="",Config!$B$8,IF(C94&gt;=Config!$B$2,Config!$C$8,Config!$B$8))</f>
        <v/>
      </c>
      <c r="V94" s="78">
        <f>IF(C94="",Config!$B$9,IF(C94&gt;=Config!$B$2,Config!$C$9,Config!$B$9))</f>
        <v/>
      </c>
    </row>
    <row r="95" ht="60" customHeight="1" s="55">
      <c r="A95" s="72">
        <f>IF(D95="","",ROW()-4)</f>
        <v/>
      </c>
      <c r="B95" s="73" t="n"/>
      <c r="C95" s="73" t="n"/>
      <c r="D95" s="74" t="n"/>
      <c r="E95" s="74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2">
        <f>IF(D95="","",SUM(F95:N95))</f>
        <v/>
      </c>
      <c r="P95" s="76">
        <f>IF(D95="","",(F95+G95+H95)*T95+I95*U95+(J95+K95+L95+M95+N95)*V95)</f>
        <v/>
      </c>
      <c r="Q95" s="74" t="n"/>
      <c r="R95" s="77">
        <f>IF(OR(D95="",O95=0),"","🥮 *NUESTRO ALFAJOR*"&amp;CHAR(10)&amp;"Remito N° "&amp;A95&amp;CHAR(10)&amp;"Fecha entrega: "&amp;TEXT(C95,"DD/MM/YYYY")&amp;CHAR(10)&amp;"Cliente: "&amp;D95&amp;IF(E95&lt;&gt;"",", "&amp;E95,"")&amp;CHAR(10)&amp;"................................."&amp;CHAR(10)&amp;IF(F95&gt;0,"Alfajor Maicena x7: "&amp;F95&amp;" pack. x $"&amp;TEXT($T95,"#,##0")&amp;" = $"&amp;TEXT(F95*$T95,"#,##0")&amp;CHAR(10),"")&amp;IF(G95&gt;0,"Alfajor Frutal x7: "&amp;G95&amp;" pack. x $"&amp;TEXT($T95,"#,##0")&amp;" = $"&amp;TEXT(G95*$T95,"#,##0")&amp;CHAR(10),"")&amp;IF(H95&gt;0,"Alfajor Santafesino x7: "&amp;H95&amp;" pack. x $"&amp;TEXT($T95,"#,##0")&amp;" = $"&amp;TEXT(H95*$T95,"#,##0")&amp;CHAR(10),"")&amp;IF(I95&gt;0,"Alfajor Maicena x14: "&amp;I95&amp;" pack. x $"&amp;TEXT($U95,"#,##0")&amp;" = $"&amp;TEXT(I95*$U95,"#,##0")&amp;CHAR(10),"")&amp;IF(J95&gt;0,"Pepas DDL: "&amp;J95&amp;" band. x $"&amp;TEXT($V95,"#,##0")&amp;" = $"&amp;TEXT(J95*$V95,"#,##0")&amp;CHAR(10),"")&amp;IF(K95&gt;0,"Pepas Membrillo: "&amp;K95&amp;" band. x $"&amp;TEXT($V95,"#,##0")&amp;" = $"&amp;TEXT(K95*$V95,"#,##0")&amp;CHAR(10),"")&amp;IF(L95&gt;0,"Pepas Arándano: "&amp;L95&amp;" band. x $"&amp;TEXT($V95,"#,##0")&amp;" = $"&amp;TEXT(L95*$V95,"#,##0")&amp;CHAR(10),"")&amp;IF(M95&gt;0,"Pepas Batata: "&amp;M95&amp;" band. x $"&amp;TEXT($V95,"#,##0")&amp;" = $"&amp;TEXT(M95*$V95,"#,##0")&amp;CHAR(10),"")&amp;IF(N95&gt;0,"Pepas Frutos del Bosque: "&amp;N95&amp;" band. x $"&amp;TEXT($V95,"#,##0")&amp;" = $"&amp;TEXT(N95*$V95,"#,##0")&amp;CHAR(10),"")&amp;"................................."&amp;CHAR(10)&amp;"*TOTAL: $"&amp;TEXT(P95,"#,##0")&amp;"*"&amp;CHAR(10)&amp;CHAR(10)&amp;"¡Gracias por tu pedido! 🙏")</f>
        <v/>
      </c>
      <c r="T95" s="78">
        <f>IF(C95="",Config!$B$5,IF(C95&gt;=Config!$B$2,Config!$C$5,Config!$B$5))</f>
        <v/>
      </c>
      <c r="U95" s="78">
        <f>IF(C95="",Config!$B$8,IF(C95&gt;=Config!$B$2,Config!$C$8,Config!$B$8))</f>
        <v/>
      </c>
      <c r="V95" s="78">
        <f>IF(C95="",Config!$B$9,IF(C95&gt;=Config!$B$2,Config!$C$9,Config!$B$9))</f>
        <v/>
      </c>
    </row>
    <row r="96" ht="60" customHeight="1" s="55">
      <c r="A96" s="72">
        <f>IF(D96="","",ROW()-4)</f>
        <v/>
      </c>
      <c r="B96" s="73" t="n"/>
      <c r="C96" s="73" t="n"/>
      <c r="D96" s="74" t="n"/>
      <c r="E96" s="74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2">
        <f>IF(D96="","",SUM(F96:N96))</f>
        <v/>
      </c>
      <c r="P96" s="76">
        <f>IF(D96="","",(F96+G96+H96)*T96+I96*U96+(J96+K96+L96+M96+N96)*V96)</f>
        <v/>
      </c>
      <c r="Q96" s="74" t="n"/>
      <c r="R96" s="77">
        <f>IF(OR(D96="",O96=0),"","🥮 *NUESTRO ALFAJOR*"&amp;CHAR(10)&amp;"Remito N° "&amp;A96&amp;CHAR(10)&amp;"Fecha entrega: "&amp;TEXT(C96,"DD/MM/YYYY")&amp;CHAR(10)&amp;"Cliente: "&amp;D96&amp;IF(E96&lt;&gt;"",", "&amp;E96,"")&amp;CHAR(10)&amp;"................................."&amp;CHAR(10)&amp;IF(F96&gt;0,"Alfajor Maicena x7: "&amp;F96&amp;" pack. x $"&amp;TEXT($T96,"#,##0")&amp;" = $"&amp;TEXT(F96*$T96,"#,##0")&amp;CHAR(10),"")&amp;IF(G96&gt;0,"Alfajor Frutal x7: "&amp;G96&amp;" pack. x $"&amp;TEXT($T96,"#,##0")&amp;" = $"&amp;TEXT(G96*$T96,"#,##0")&amp;CHAR(10),"")&amp;IF(H96&gt;0,"Alfajor Santafesino x7: "&amp;H96&amp;" pack. x $"&amp;TEXT($T96,"#,##0")&amp;" = $"&amp;TEXT(H96*$T96,"#,##0")&amp;CHAR(10),"")&amp;IF(I96&gt;0,"Alfajor Maicena x14: "&amp;I96&amp;" pack. x $"&amp;TEXT($U96,"#,##0")&amp;" = $"&amp;TEXT(I96*$U96,"#,##0")&amp;CHAR(10),"")&amp;IF(J96&gt;0,"Pepas DDL: "&amp;J96&amp;" band. x $"&amp;TEXT($V96,"#,##0")&amp;" = $"&amp;TEXT(J96*$V96,"#,##0")&amp;CHAR(10),"")&amp;IF(K96&gt;0,"Pepas Membrillo: "&amp;K96&amp;" band. x $"&amp;TEXT($V96,"#,##0")&amp;" = $"&amp;TEXT(K96*$V96,"#,##0")&amp;CHAR(10),"")&amp;IF(L96&gt;0,"Pepas Arándano: "&amp;L96&amp;" band. x $"&amp;TEXT($V96,"#,##0")&amp;" = $"&amp;TEXT(L96*$V96,"#,##0")&amp;CHAR(10),"")&amp;IF(M96&gt;0,"Pepas Batata: "&amp;M96&amp;" band. x $"&amp;TEXT($V96,"#,##0")&amp;" = $"&amp;TEXT(M96*$V96,"#,##0")&amp;CHAR(10),"")&amp;IF(N96&gt;0,"Pepas Frutos del Bosque: "&amp;N96&amp;" band. x $"&amp;TEXT($V96,"#,##0")&amp;" = $"&amp;TEXT(N96*$V96,"#,##0")&amp;CHAR(10),"")&amp;"................................."&amp;CHAR(10)&amp;"*TOTAL: $"&amp;TEXT(P96,"#,##0")&amp;"*"&amp;CHAR(10)&amp;CHAR(10)&amp;"¡Gracias por tu pedido! 🙏")</f>
        <v/>
      </c>
      <c r="T96" s="78">
        <f>IF(C96="",Config!$B$5,IF(C96&gt;=Config!$B$2,Config!$C$5,Config!$B$5))</f>
        <v/>
      </c>
      <c r="U96" s="78">
        <f>IF(C96="",Config!$B$8,IF(C96&gt;=Config!$B$2,Config!$C$8,Config!$B$8))</f>
        <v/>
      </c>
      <c r="V96" s="78">
        <f>IF(C96="",Config!$B$9,IF(C96&gt;=Config!$B$2,Config!$C$9,Config!$B$9))</f>
        <v/>
      </c>
    </row>
    <row r="97" ht="60" customHeight="1" s="55">
      <c r="A97" s="72">
        <f>IF(D97="","",ROW()-4)</f>
        <v/>
      </c>
      <c r="B97" s="73" t="n"/>
      <c r="C97" s="73" t="n"/>
      <c r="D97" s="74" t="n"/>
      <c r="E97" s="74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2">
        <f>IF(D97="","",SUM(F97:N97))</f>
        <v/>
      </c>
      <c r="P97" s="76">
        <f>IF(D97="","",(F97+G97+H97)*T97+I97*U97+(J97+K97+L97+M97+N97)*V97)</f>
        <v/>
      </c>
      <c r="Q97" s="74" t="n"/>
      <c r="R97" s="77">
        <f>IF(OR(D97="",O97=0),"","🥮 *NUESTRO ALFAJOR*"&amp;CHAR(10)&amp;"Remito N° "&amp;A97&amp;CHAR(10)&amp;"Fecha entrega: "&amp;TEXT(C97,"DD/MM/YYYY")&amp;CHAR(10)&amp;"Cliente: "&amp;D97&amp;IF(E97&lt;&gt;"",", "&amp;E97,"")&amp;CHAR(10)&amp;"................................."&amp;CHAR(10)&amp;IF(F97&gt;0,"Alfajor Maicena x7: "&amp;F97&amp;" pack. x $"&amp;TEXT($T97,"#,##0")&amp;" = $"&amp;TEXT(F97*$T97,"#,##0")&amp;CHAR(10),"")&amp;IF(G97&gt;0,"Alfajor Frutal x7: "&amp;G97&amp;" pack. x $"&amp;TEXT($T97,"#,##0")&amp;" = $"&amp;TEXT(G97*$T97,"#,##0")&amp;CHAR(10),"")&amp;IF(H97&gt;0,"Alfajor Santafesino x7: "&amp;H97&amp;" pack. x $"&amp;TEXT($T97,"#,##0")&amp;" = $"&amp;TEXT(H97*$T97,"#,##0")&amp;CHAR(10),"")&amp;IF(I97&gt;0,"Alfajor Maicena x14: "&amp;I97&amp;" pack. x $"&amp;TEXT($U97,"#,##0")&amp;" = $"&amp;TEXT(I97*$U97,"#,##0")&amp;CHAR(10),"")&amp;IF(J97&gt;0,"Pepas DDL: "&amp;J97&amp;" band. x $"&amp;TEXT($V97,"#,##0")&amp;" = $"&amp;TEXT(J97*$V97,"#,##0")&amp;CHAR(10),"")&amp;IF(K97&gt;0,"Pepas Membrillo: "&amp;K97&amp;" band. x $"&amp;TEXT($V97,"#,##0")&amp;" = $"&amp;TEXT(K97*$V97,"#,##0")&amp;CHAR(10),"")&amp;IF(L97&gt;0,"Pepas Arándano: "&amp;L97&amp;" band. x $"&amp;TEXT($V97,"#,##0")&amp;" = $"&amp;TEXT(L97*$V97,"#,##0")&amp;CHAR(10),"")&amp;IF(M97&gt;0,"Pepas Batata: "&amp;M97&amp;" band. x $"&amp;TEXT($V97,"#,##0")&amp;" = $"&amp;TEXT(M97*$V97,"#,##0")&amp;CHAR(10),"")&amp;IF(N97&gt;0,"Pepas Frutos del Bosque: "&amp;N97&amp;" band. x $"&amp;TEXT($V97,"#,##0")&amp;" = $"&amp;TEXT(N97*$V97,"#,##0")&amp;CHAR(10),"")&amp;"................................."&amp;CHAR(10)&amp;"*TOTAL: $"&amp;TEXT(P97,"#,##0")&amp;"*"&amp;CHAR(10)&amp;CHAR(10)&amp;"¡Gracias por tu pedido! 🙏")</f>
        <v/>
      </c>
      <c r="T97" s="78">
        <f>IF(C97="",Config!$B$5,IF(C97&gt;=Config!$B$2,Config!$C$5,Config!$B$5))</f>
        <v/>
      </c>
      <c r="U97" s="78">
        <f>IF(C97="",Config!$B$8,IF(C97&gt;=Config!$B$2,Config!$C$8,Config!$B$8))</f>
        <v/>
      </c>
      <c r="V97" s="78">
        <f>IF(C97="",Config!$B$9,IF(C97&gt;=Config!$B$2,Config!$C$9,Config!$B$9))</f>
        <v/>
      </c>
    </row>
    <row r="98" ht="60" customHeight="1" s="55">
      <c r="A98" s="72">
        <f>IF(D98="","",ROW()-4)</f>
        <v/>
      </c>
      <c r="B98" s="73" t="n"/>
      <c r="C98" s="73" t="n"/>
      <c r="D98" s="74" t="n"/>
      <c r="E98" s="74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2">
        <f>IF(D98="","",SUM(F98:N98))</f>
        <v/>
      </c>
      <c r="P98" s="76">
        <f>IF(D98="","",(F98+G98+H98)*T98+I98*U98+(J98+K98+L98+M98+N98)*V98)</f>
        <v/>
      </c>
      <c r="Q98" s="74" t="n"/>
      <c r="R98" s="77">
        <f>IF(OR(D98="",O98=0),"","🥮 *NUESTRO ALFAJOR*"&amp;CHAR(10)&amp;"Remito N° "&amp;A98&amp;CHAR(10)&amp;"Fecha entrega: "&amp;TEXT(C98,"DD/MM/YYYY")&amp;CHAR(10)&amp;"Cliente: "&amp;D98&amp;IF(E98&lt;&gt;"",", "&amp;E98,"")&amp;CHAR(10)&amp;"................................."&amp;CHAR(10)&amp;IF(F98&gt;0,"Alfajor Maicena x7: "&amp;F98&amp;" pack. x $"&amp;TEXT($T98,"#,##0")&amp;" = $"&amp;TEXT(F98*$T98,"#,##0")&amp;CHAR(10),"")&amp;IF(G98&gt;0,"Alfajor Frutal x7: "&amp;G98&amp;" pack. x $"&amp;TEXT($T98,"#,##0")&amp;" = $"&amp;TEXT(G98*$T98,"#,##0")&amp;CHAR(10),"")&amp;IF(H98&gt;0,"Alfajor Santafesino x7: "&amp;H98&amp;" pack. x $"&amp;TEXT($T98,"#,##0")&amp;" = $"&amp;TEXT(H98*$T98,"#,##0")&amp;CHAR(10),"")&amp;IF(I98&gt;0,"Alfajor Maicena x14: "&amp;I98&amp;" pack. x $"&amp;TEXT($U98,"#,##0")&amp;" = $"&amp;TEXT(I98*$U98,"#,##0")&amp;CHAR(10),"")&amp;IF(J98&gt;0,"Pepas DDL: "&amp;J98&amp;" band. x $"&amp;TEXT($V98,"#,##0")&amp;" = $"&amp;TEXT(J98*$V98,"#,##0")&amp;CHAR(10),"")&amp;IF(K98&gt;0,"Pepas Membrillo: "&amp;K98&amp;" band. x $"&amp;TEXT($V98,"#,##0")&amp;" = $"&amp;TEXT(K98*$V98,"#,##0")&amp;CHAR(10),"")&amp;IF(L98&gt;0,"Pepas Arándano: "&amp;L98&amp;" band. x $"&amp;TEXT($V98,"#,##0")&amp;" = $"&amp;TEXT(L98*$V98,"#,##0")&amp;CHAR(10),"")&amp;IF(M98&gt;0,"Pepas Batata: "&amp;M98&amp;" band. x $"&amp;TEXT($V98,"#,##0")&amp;" = $"&amp;TEXT(M98*$V98,"#,##0")&amp;CHAR(10),"")&amp;IF(N98&gt;0,"Pepas Frutos del Bosque: "&amp;N98&amp;" band. x $"&amp;TEXT($V98,"#,##0")&amp;" = $"&amp;TEXT(N98*$V98,"#,##0")&amp;CHAR(10),"")&amp;"................................."&amp;CHAR(10)&amp;"*TOTAL: $"&amp;TEXT(P98,"#,##0")&amp;"*"&amp;CHAR(10)&amp;CHAR(10)&amp;"¡Gracias por tu pedido! 🙏")</f>
        <v/>
      </c>
      <c r="T98" s="78">
        <f>IF(C98="",Config!$B$5,IF(C98&gt;=Config!$B$2,Config!$C$5,Config!$B$5))</f>
        <v/>
      </c>
      <c r="U98" s="78">
        <f>IF(C98="",Config!$B$8,IF(C98&gt;=Config!$B$2,Config!$C$8,Config!$B$8))</f>
        <v/>
      </c>
      <c r="V98" s="78">
        <f>IF(C98="",Config!$B$9,IF(C98&gt;=Config!$B$2,Config!$C$9,Config!$B$9))</f>
        <v/>
      </c>
    </row>
    <row r="99" ht="60" customHeight="1" s="55">
      <c r="A99" s="72">
        <f>IF(D99="","",ROW()-4)</f>
        <v/>
      </c>
      <c r="B99" s="73" t="n"/>
      <c r="C99" s="73" t="n"/>
      <c r="D99" s="74" t="n"/>
      <c r="E99" s="74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2">
        <f>IF(D99="","",SUM(F99:N99))</f>
        <v/>
      </c>
      <c r="P99" s="76">
        <f>IF(D99="","",(F99+G99+H99)*T99+I99*U99+(J99+K99+L99+M99+N99)*V99)</f>
        <v/>
      </c>
      <c r="Q99" s="74" t="n"/>
      <c r="R99" s="77">
        <f>IF(OR(D99="",O99=0),"","🥮 *NUESTRO ALFAJOR*"&amp;CHAR(10)&amp;"Remito N° "&amp;A99&amp;CHAR(10)&amp;"Fecha entrega: "&amp;TEXT(C99,"DD/MM/YYYY")&amp;CHAR(10)&amp;"Cliente: "&amp;D99&amp;IF(E99&lt;&gt;"",", "&amp;E99,"")&amp;CHAR(10)&amp;"................................."&amp;CHAR(10)&amp;IF(F99&gt;0,"Alfajor Maicena x7: "&amp;F99&amp;" pack. x $"&amp;TEXT($T99,"#,##0")&amp;" = $"&amp;TEXT(F99*$T99,"#,##0")&amp;CHAR(10),"")&amp;IF(G99&gt;0,"Alfajor Frutal x7: "&amp;G99&amp;" pack. x $"&amp;TEXT($T99,"#,##0")&amp;" = $"&amp;TEXT(G99*$T99,"#,##0")&amp;CHAR(10),"")&amp;IF(H99&gt;0,"Alfajor Santafesino x7: "&amp;H99&amp;" pack. x $"&amp;TEXT($T99,"#,##0")&amp;" = $"&amp;TEXT(H99*$T99,"#,##0")&amp;CHAR(10),"")&amp;IF(I99&gt;0,"Alfajor Maicena x14: "&amp;I99&amp;" pack. x $"&amp;TEXT($U99,"#,##0")&amp;" = $"&amp;TEXT(I99*$U99,"#,##0")&amp;CHAR(10),"")&amp;IF(J99&gt;0,"Pepas DDL: "&amp;J99&amp;" band. x $"&amp;TEXT($V99,"#,##0")&amp;" = $"&amp;TEXT(J99*$V99,"#,##0")&amp;CHAR(10),"")&amp;IF(K99&gt;0,"Pepas Membrillo: "&amp;K99&amp;" band. x $"&amp;TEXT($V99,"#,##0")&amp;" = $"&amp;TEXT(K99*$V99,"#,##0")&amp;CHAR(10),"")&amp;IF(L99&gt;0,"Pepas Arándano: "&amp;L99&amp;" band. x $"&amp;TEXT($V99,"#,##0")&amp;" = $"&amp;TEXT(L99*$V99,"#,##0")&amp;CHAR(10),"")&amp;IF(M99&gt;0,"Pepas Batata: "&amp;M99&amp;" band. x $"&amp;TEXT($V99,"#,##0")&amp;" = $"&amp;TEXT(M99*$V99,"#,##0")&amp;CHAR(10),"")&amp;IF(N99&gt;0,"Pepas Frutos del Bosque: "&amp;N99&amp;" band. x $"&amp;TEXT($V99,"#,##0")&amp;" = $"&amp;TEXT(N99*$V99,"#,##0")&amp;CHAR(10),"")&amp;"................................."&amp;CHAR(10)&amp;"*TOTAL: $"&amp;TEXT(P99,"#,##0")&amp;"*"&amp;CHAR(10)&amp;CHAR(10)&amp;"¡Gracias por tu pedido! 🙏")</f>
        <v/>
      </c>
      <c r="T99" s="78">
        <f>IF(C99="",Config!$B$5,IF(C99&gt;=Config!$B$2,Config!$C$5,Config!$B$5))</f>
        <v/>
      </c>
      <c r="U99" s="78">
        <f>IF(C99="",Config!$B$8,IF(C99&gt;=Config!$B$2,Config!$C$8,Config!$B$8))</f>
        <v/>
      </c>
      <c r="V99" s="78">
        <f>IF(C99="",Config!$B$9,IF(C99&gt;=Config!$B$2,Config!$C$9,Config!$B$9))</f>
        <v/>
      </c>
    </row>
    <row r="100" ht="60" customHeight="1" s="55">
      <c r="A100" s="72">
        <f>IF(D100="","",ROW()-4)</f>
        <v/>
      </c>
      <c r="B100" s="73" t="n"/>
      <c r="C100" s="73" t="n"/>
      <c r="D100" s="74" t="n"/>
      <c r="E100" s="74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2">
        <f>IF(D100="","",SUM(F100:N100))</f>
        <v/>
      </c>
      <c r="P100" s="76">
        <f>IF(D100="","",(F100+G100+H100)*T100+I100*U100+(J100+K100+L100+M100+N100)*V100)</f>
        <v/>
      </c>
      <c r="Q100" s="74" t="n"/>
      <c r="R100" s="77">
        <f>IF(OR(D100="",O100=0),"","🥮 *NUESTRO ALFAJOR*"&amp;CHAR(10)&amp;"Remito N° "&amp;A100&amp;CHAR(10)&amp;"Fecha entrega: "&amp;TEXT(C100,"DD/MM/YYYY")&amp;CHAR(10)&amp;"Cliente: "&amp;D100&amp;IF(E100&lt;&gt;"",", "&amp;E100,"")&amp;CHAR(10)&amp;"................................."&amp;CHAR(10)&amp;IF(F100&gt;0,"Alfajor Maicena x7: "&amp;F100&amp;" pack. x $"&amp;TEXT($T100,"#,##0")&amp;" = $"&amp;TEXT(F100*$T100,"#,##0")&amp;CHAR(10),"")&amp;IF(G100&gt;0,"Alfajor Frutal x7: "&amp;G100&amp;" pack. x $"&amp;TEXT($T100,"#,##0")&amp;" = $"&amp;TEXT(G100*$T100,"#,##0")&amp;CHAR(10),"")&amp;IF(H100&gt;0,"Alfajor Santafesino x7: "&amp;H100&amp;" pack. x $"&amp;TEXT($T100,"#,##0")&amp;" = $"&amp;TEXT(H100*$T100,"#,##0")&amp;CHAR(10),"")&amp;IF(I100&gt;0,"Alfajor Maicena x14: "&amp;I100&amp;" pack. x $"&amp;TEXT($U100,"#,##0")&amp;" = $"&amp;TEXT(I100*$U100,"#,##0")&amp;CHAR(10),"")&amp;IF(J100&gt;0,"Pepas DDL: "&amp;J100&amp;" band. x $"&amp;TEXT($V100,"#,##0")&amp;" = $"&amp;TEXT(J100*$V100,"#,##0")&amp;CHAR(10),"")&amp;IF(K100&gt;0,"Pepas Membrillo: "&amp;K100&amp;" band. x $"&amp;TEXT($V100,"#,##0")&amp;" = $"&amp;TEXT(K100*$V100,"#,##0")&amp;CHAR(10),"")&amp;IF(L100&gt;0,"Pepas Arándano: "&amp;L100&amp;" band. x $"&amp;TEXT($V100,"#,##0")&amp;" = $"&amp;TEXT(L100*$V100,"#,##0")&amp;CHAR(10),"")&amp;IF(M100&gt;0,"Pepas Batata: "&amp;M100&amp;" band. x $"&amp;TEXT($V100,"#,##0")&amp;" = $"&amp;TEXT(M100*$V100,"#,##0")&amp;CHAR(10),"")&amp;IF(N100&gt;0,"Pepas Frutos del Bosque: "&amp;N100&amp;" band. x $"&amp;TEXT($V100,"#,##0")&amp;" = $"&amp;TEXT(N100*$V100,"#,##0")&amp;CHAR(10),"")&amp;"................................."&amp;CHAR(10)&amp;"*TOTAL: $"&amp;TEXT(P100,"#,##0")&amp;"*"&amp;CHAR(10)&amp;CHAR(10)&amp;"¡Gracias por tu pedido! 🙏")</f>
        <v/>
      </c>
      <c r="T100" s="78">
        <f>IF(C100="",Config!$B$5,IF(C100&gt;=Config!$B$2,Config!$C$5,Config!$B$5))</f>
        <v/>
      </c>
      <c r="U100" s="78">
        <f>IF(C100="",Config!$B$8,IF(C100&gt;=Config!$B$2,Config!$C$8,Config!$B$8))</f>
        <v/>
      </c>
      <c r="V100" s="78">
        <f>IF(C100="",Config!$B$9,IF(C100&gt;=Config!$B$2,Config!$C$9,Config!$B$9))</f>
        <v/>
      </c>
    </row>
    <row r="101" ht="60" customHeight="1" s="55">
      <c r="A101" s="72">
        <f>IF(D101="","",ROW()-4)</f>
        <v/>
      </c>
      <c r="B101" s="73" t="n"/>
      <c r="C101" s="73" t="n"/>
      <c r="D101" s="74" t="n"/>
      <c r="E101" s="74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2">
        <f>IF(D101="","",SUM(F101:N101))</f>
        <v/>
      </c>
      <c r="P101" s="76">
        <f>IF(D101="","",(F101+G101+H101)*T101+I101*U101+(J101+K101+L101+M101+N101)*V101)</f>
        <v/>
      </c>
      <c r="Q101" s="74" t="n"/>
      <c r="R101" s="77">
        <f>IF(OR(D101="",O101=0),"","🥮 *NUESTRO ALFAJOR*"&amp;CHAR(10)&amp;"Remito N° "&amp;A101&amp;CHAR(10)&amp;"Fecha entrega: "&amp;TEXT(C101,"DD/MM/YYYY")&amp;CHAR(10)&amp;"Cliente: "&amp;D101&amp;IF(E101&lt;&gt;"",", "&amp;E101,"")&amp;CHAR(10)&amp;"................................."&amp;CHAR(10)&amp;IF(F101&gt;0,"Alfajor Maicena x7: "&amp;F101&amp;" pack. x $"&amp;TEXT($T101,"#,##0")&amp;" = $"&amp;TEXT(F101*$T101,"#,##0")&amp;CHAR(10),"")&amp;IF(G101&gt;0,"Alfajor Frutal x7: "&amp;G101&amp;" pack. x $"&amp;TEXT($T101,"#,##0")&amp;" = $"&amp;TEXT(G101*$T101,"#,##0")&amp;CHAR(10),"")&amp;IF(H101&gt;0,"Alfajor Santafesino x7: "&amp;H101&amp;" pack. x $"&amp;TEXT($T101,"#,##0")&amp;" = $"&amp;TEXT(H101*$T101,"#,##0")&amp;CHAR(10),"")&amp;IF(I101&gt;0,"Alfajor Maicena x14: "&amp;I101&amp;" pack. x $"&amp;TEXT($U101,"#,##0")&amp;" = $"&amp;TEXT(I101*$U101,"#,##0")&amp;CHAR(10),"")&amp;IF(J101&gt;0,"Pepas DDL: "&amp;J101&amp;" band. x $"&amp;TEXT($V101,"#,##0")&amp;" = $"&amp;TEXT(J101*$V101,"#,##0")&amp;CHAR(10),"")&amp;IF(K101&gt;0,"Pepas Membrillo: "&amp;K101&amp;" band. x $"&amp;TEXT($V101,"#,##0")&amp;" = $"&amp;TEXT(K101*$V101,"#,##0")&amp;CHAR(10),"")&amp;IF(L101&gt;0,"Pepas Arándano: "&amp;L101&amp;" band. x $"&amp;TEXT($V101,"#,##0")&amp;" = $"&amp;TEXT(L101*$V101,"#,##0")&amp;CHAR(10),"")&amp;IF(M101&gt;0,"Pepas Batata: "&amp;M101&amp;" band. x $"&amp;TEXT($V101,"#,##0")&amp;" = $"&amp;TEXT(M101*$V101,"#,##0")&amp;CHAR(10),"")&amp;IF(N101&gt;0,"Pepas Frutos del Bosque: "&amp;N101&amp;" band. x $"&amp;TEXT($V101,"#,##0")&amp;" = $"&amp;TEXT(N101*$V101,"#,##0")&amp;CHAR(10),"")&amp;"................................."&amp;CHAR(10)&amp;"*TOTAL: $"&amp;TEXT(P101,"#,##0")&amp;"*"&amp;CHAR(10)&amp;CHAR(10)&amp;"¡Gracias por tu pedido! 🙏")</f>
        <v/>
      </c>
      <c r="T101" s="78">
        <f>IF(C101="",Config!$B$5,IF(C101&gt;=Config!$B$2,Config!$C$5,Config!$B$5))</f>
        <v/>
      </c>
      <c r="U101" s="78">
        <f>IF(C101="",Config!$B$8,IF(C101&gt;=Config!$B$2,Config!$C$8,Config!$B$8))</f>
        <v/>
      </c>
      <c r="V101" s="78">
        <f>IF(C101="",Config!$B$9,IF(C101&gt;=Config!$B$2,Config!$C$9,Config!$B$9))</f>
        <v/>
      </c>
    </row>
    <row r="102" ht="60" customHeight="1" s="55">
      <c r="A102" s="72">
        <f>IF(D102="","",ROW()-4)</f>
        <v/>
      </c>
      <c r="B102" s="73" t="n"/>
      <c r="C102" s="73" t="n"/>
      <c r="D102" s="74" t="n"/>
      <c r="E102" s="74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2">
        <f>IF(D102="","",SUM(F102:N102))</f>
        <v/>
      </c>
      <c r="P102" s="76">
        <f>IF(D102="","",(F102+G102+H102)*T102+I102*U102+(J102+K102+L102+M102+N102)*V102)</f>
        <v/>
      </c>
      <c r="Q102" s="74" t="n"/>
      <c r="R102" s="77">
        <f>IF(OR(D102="",O102=0),"","🥮 *NUESTRO ALFAJOR*"&amp;CHAR(10)&amp;"Remito N° "&amp;A102&amp;CHAR(10)&amp;"Fecha entrega: "&amp;TEXT(C102,"DD/MM/YYYY")&amp;CHAR(10)&amp;"Cliente: "&amp;D102&amp;IF(E102&lt;&gt;"",", "&amp;E102,"")&amp;CHAR(10)&amp;"................................."&amp;CHAR(10)&amp;IF(F102&gt;0,"Alfajor Maicena x7: "&amp;F102&amp;" pack. x $"&amp;TEXT($T102,"#,##0")&amp;" = $"&amp;TEXT(F102*$T102,"#,##0")&amp;CHAR(10),"")&amp;IF(G102&gt;0,"Alfajor Frutal x7: "&amp;G102&amp;" pack. x $"&amp;TEXT($T102,"#,##0")&amp;" = $"&amp;TEXT(G102*$T102,"#,##0")&amp;CHAR(10),"")&amp;IF(H102&gt;0,"Alfajor Santafesino x7: "&amp;H102&amp;" pack. x $"&amp;TEXT($T102,"#,##0")&amp;" = $"&amp;TEXT(H102*$T102,"#,##0")&amp;CHAR(10),"")&amp;IF(I102&gt;0,"Alfajor Maicena x14: "&amp;I102&amp;" pack. x $"&amp;TEXT($U102,"#,##0")&amp;" = $"&amp;TEXT(I102*$U102,"#,##0")&amp;CHAR(10),"")&amp;IF(J102&gt;0,"Pepas DDL: "&amp;J102&amp;" band. x $"&amp;TEXT($V102,"#,##0")&amp;" = $"&amp;TEXT(J102*$V102,"#,##0")&amp;CHAR(10),"")&amp;IF(K102&gt;0,"Pepas Membrillo: "&amp;K102&amp;" band. x $"&amp;TEXT($V102,"#,##0")&amp;" = $"&amp;TEXT(K102*$V102,"#,##0")&amp;CHAR(10),"")&amp;IF(L102&gt;0,"Pepas Arándano: "&amp;L102&amp;" band. x $"&amp;TEXT($V102,"#,##0")&amp;" = $"&amp;TEXT(L102*$V102,"#,##0")&amp;CHAR(10),"")&amp;IF(M102&gt;0,"Pepas Batata: "&amp;M102&amp;" band. x $"&amp;TEXT($V102,"#,##0")&amp;" = $"&amp;TEXT(M102*$V102,"#,##0")&amp;CHAR(10),"")&amp;IF(N102&gt;0,"Pepas Frutos del Bosque: "&amp;N102&amp;" band. x $"&amp;TEXT($V102,"#,##0")&amp;" = $"&amp;TEXT(N102*$V102,"#,##0")&amp;CHAR(10),"")&amp;"................................."&amp;CHAR(10)&amp;"*TOTAL: $"&amp;TEXT(P102,"#,##0")&amp;"*"&amp;CHAR(10)&amp;CHAR(10)&amp;"¡Gracias por tu pedido! 🙏")</f>
        <v/>
      </c>
      <c r="T102" s="78">
        <f>IF(C102="",Config!$B$5,IF(C102&gt;=Config!$B$2,Config!$C$5,Config!$B$5))</f>
        <v/>
      </c>
      <c r="U102" s="78">
        <f>IF(C102="",Config!$B$8,IF(C102&gt;=Config!$B$2,Config!$C$8,Config!$B$8))</f>
        <v/>
      </c>
      <c r="V102" s="78">
        <f>IF(C102="",Config!$B$9,IF(C102&gt;=Config!$B$2,Config!$C$9,Config!$B$9))</f>
        <v/>
      </c>
    </row>
    <row r="103" ht="60" customHeight="1" s="55">
      <c r="A103" s="72">
        <f>IF(D103="","",ROW()-4)</f>
        <v/>
      </c>
      <c r="B103" s="73" t="n"/>
      <c r="C103" s="73" t="n"/>
      <c r="D103" s="74" t="n"/>
      <c r="E103" s="74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2">
        <f>IF(D103="","",SUM(F103:N103))</f>
        <v/>
      </c>
      <c r="P103" s="76">
        <f>IF(D103="","",(F103+G103+H103)*T103+I103*U103+(J103+K103+L103+M103+N103)*V103)</f>
        <v/>
      </c>
      <c r="Q103" s="74" t="n"/>
      <c r="R103" s="77">
        <f>IF(OR(D103="",O103=0),"","🥮 *NUESTRO ALFAJOR*"&amp;CHAR(10)&amp;"Remito N° "&amp;A103&amp;CHAR(10)&amp;"Fecha entrega: "&amp;TEXT(C103,"DD/MM/YYYY")&amp;CHAR(10)&amp;"Cliente: "&amp;D103&amp;IF(E103&lt;&gt;"",", "&amp;E103,"")&amp;CHAR(10)&amp;"................................."&amp;CHAR(10)&amp;IF(F103&gt;0,"Alfajor Maicena x7: "&amp;F103&amp;" pack. x $"&amp;TEXT($T103,"#,##0")&amp;" = $"&amp;TEXT(F103*$T103,"#,##0")&amp;CHAR(10),"")&amp;IF(G103&gt;0,"Alfajor Frutal x7: "&amp;G103&amp;" pack. x $"&amp;TEXT($T103,"#,##0")&amp;" = $"&amp;TEXT(G103*$T103,"#,##0")&amp;CHAR(10),"")&amp;IF(H103&gt;0,"Alfajor Santafesino x7: "&amp;H103&amp;" pack. x $"&amp;TEXT($T103,"#,##0")&amp;" = $"&amp;TEXT(H103*$T103,"#,##0")&amp;CHAR(10),"")&amp;IF(I103&gt;0,"Alfajor Maicena x14: "&amp;I103&amp;" pack. x $"&amp;TEXT($U103,"#,##0")&amp;" = $"&amp;TEXT(I103*$U103,"#,##0")&amp;CHAR(10),"")&amp;IF(J103&gt;0,"Pepas DDL: "&amp;J103&amp;" band. x $"&amp;TEXT($V103,"#,##0")&amp;" = $"&amp;TEXT(J103*$V103,"#,##0")&amp;CHAR(10),"")&amp;IF(K103&gt;0,"Pepas Membrillo: "&amp;K103&amp;" band. x $"&amp;TEXT($V103,"#,##0")&amp;" = $"&amp;TEXT(K103*$V103,"#,##0")&amp;CHAR(10),"")&amp;IF(L103&gt;0,"Pepas Arándano: "&amp;L103&amp;" band. x $"&amp;TEXT($V103,"#,##0")&amp;" = $"&amp;TEXT(L103*$V103,"#,##0")&amp;CHAR(10),"")&amp;IF(M103&gt;0,"Pepas Batata: "&amp;M103&amp;" band. x $"&amp;TEXT($V103,"#,##0")&amp;" = $"&amp;TEXT(M103*$V103,"#,##0")&amp;CHAR(10),"")&amp;IF(N103&gt;0,"Pepas Frutos del Bosque: "&amp;N103&amp;" band. x $"&amp;TEXT($V103,"#,##0")&amp;" = $"&amp;TEXT(N103*$V103,"#,##0")&amp;CHAR(10),"")&amp;"................................."&amp;CHAR(10)&amp;"*TOTAL: $"&amp;TEXT(P103,"#,##0")&amp;"*"&amp;CHAR(10)&amp;CHAR(10)&amp;"¡Gracias por tu pedido! 🙏")</f>
        <v/>
      </c>
      <c r="T103" s="78">
        <f>IF(C103="",Config!$B$5,IF(C103&gt;=Config!$B$2,Config!$C$5,Config!$B$5))</f>
        <v/>
      </c>
      <c r="U103" s="78">
        <f>IF(C103="",Config!$B$8,IF(C103&gt;=Config!$B$2,Config!$C$8,Config!$B$8))</f>
        <v/>
      </c>
      <c r="V103" s="78">
        <f>IF(C103="",Config!$B$9,IF(C103&gt;=Config!$B$2,Config!$C$9,Config!$B$9))</f>
        <v/>
      </c>
    </row>
    <row r="104" ht="60" customHeight="1" s="55">
      <c r="A104" s="72">
        <f>IF(D104="","",ROW()-4)</f>
        <v/>
      </c>
      <c r="B104" s="73" t="n"/>
      <c r="C104" s="73" t="n"/>
      <c r="D104" s="74" t="n"/>
      <c r="E104" s="74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2">
        <f>IF(D104="","",SUM(F104:N104))</f>
        <v/>
      </c>
      <c r="P104" s="76">
        <f>IF(D104="","",(F104+G104+H104)*T104+I104*U104+(J104+K104+L104+M104+N104)*V104)</f>
        <v/>
      </c>
      <c r="Q104" s="74" t="n"/>
      <c r="R104" s="77">
        <f>IF(OR(D104="",O104=0),"","🥮 *NUESTRO ALFAJOR*"&amp;CHAR(10)&amp;"Remito N° "&amp;A104&amp;CHAR(10)&amp;"Fecha entrega: "&amp;TEXT(C104,"DD/MM/YYYY")&amp;CHAR(10)&amp;"Cliente: "&amp;D104&amp;IF(E104&lt;&gt;"",", "&amp;E104,"")&amp;CHAR(10)&amp;"................................."&amp;CHAR(10)&amp;IF(F104&gt;0,"Alfajor Maicena x7: "&amp;F104&amp;" pack. x $"&amp;TEXT($T104,"#,##0")&amp;" = $"&amp;TEXT(F104*$T104,"#,##0")&amp;CHAR(10),"")&amp;IF(G104&gt;0,"Alfajor Frutal x7: "&amp;G104&amp;" pack. x $"&amp;TEXT($T104,"#,##0")&amp;" = $"&amp;TEXT(G104*$T104,"#,##0")&amp;CHAR(10),"")&amp;IF(H104&gt;0,"Alfajor Santafesino x7: "&amp;H104&amp;" pack. x $"&amp;TEXT($T104,"#,##0")&amp;" = $"&amp;TEXT(H104*$T104,"#,##0")&amp;CHAR(10),"")&amp;IF(I104&gt;0,"Alfajor Maicena x14: "&amp;I104&amp;" pack. x $"&amp;TEXT($U104,"#,##0")&amp;" = $"&amp;TEXT(I104*$U104,"#,##0")&amp;CHAR(10),"")&amp;IF(J104&gt;0,"Pepas DDL: "&amp;J104&amp;" band. x $"&amp;TEXT($V104,"#,##0")&amp;" = $"&amp;TEXT(J104*$V104,"#,##0")&amp;CHAR(10),"")&amp;IF(K104&gt;0,"Pepas Membrillo: "&amp;K104&amp;" band. x $"&amp;TEXT($V104,"#,##0")&amp;" = $"&amp;TEXT(K104*$V104,"#,##0")&amp;CHAR(10),"")&amp;IF(L104&gt;0,"Pepas Arándano: "&amp;L104&amp;" band. x $"&amp;TEXT($V104,"#,##0")&amp;" = $"&amp;TEXT(L104*$V104,"#,##0")&amp;CHAR(10),"")&amp;IF(M104&gt;0,"Pepas Batata: "&amp;M104&amp;" band. x $"&amp;TEXT($V104,"#,##0")&amp;" = $"&amp;TEXT(M104*$V104,"#,##0")&amp;CHAR(10),"")&amp;IF(N104&gt;0,"Pepas Frutos del Bosque: "&amp;N104&amp;" band. x $"&amp;TEXT($V104,"#,##0")&amp;" = $"&amp;TEXT(N104*$V104,"#,##0")&amp;CHAR(10),"")&amp;"................................."&amp;CHAR(10)&amp;"*TOTAL: $"&amp;TEXT(P104,"#,##0")&amp;"*"&amp;CHAR(10)&amp;CHAR(10)&amp;"¡Gracias por tu pedido! 🙏")</f>
        <v/>
      </c>
      <c r="T104" s="78">
        <f>IF(C104="",Config!$B$5,IF(C104&gt;=Config!$B$2,Config!$C$5,Config!$B$5))</f>
        <v/>
      </c>
      <c r="U104" s="78">
        <f>IF(C104="",Config!$B$8,IF(C104&gt;=Config!$B$2,Config!$C$8,Config!$B$8))</f>
        <v/>
      </c>
      <c r="V104" s="78">
        <f>IF(C104="",Config!$B$9,IF(C104&gt;=Config!$B$2,Config!$C$9,Config!$B$9))</f>
        <v/>
      </c>
    </row>
    <row r="105" ht="60" customHeight="1" s="55">
      <c r="A105" s="72">
        <f>IF(D105="","",ROW()-4)</f>
        <v/>
      </c>
      <c r="B105" s="73" t="n"/>
      <c r="C105" s="73" t="n"/>
      <c r="D105" s="74" t="n"/>
      <c r="E105" s="74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2">
        <f>IF(D105="","",SUM(F105:N105))</f>
        <v/>
      </c>
      <c r="P105" s="76">
        <f>IF(D105="","",(F105+G105+H105)*T105+I105*U105+(J105+K105+L105+M105+N105)*V105)</f>
        <v/>
      </c>
      <c r="Q105" s="74" t="n"/>
      <c r="R105" s="77">
        <f>IF(OR(D105="",O105=0),"","🥮 *NUESTRO ALFAJOR*"&amp;CHAR(10)&amp;"Remito N° "&amp;A105&amp;CHAR(10)&amp;"Fecha entrega: "&amp;TEXT(C105,"DD/MM/YYYY")&amp;CHAR(10)&amp;"Cliente: "&amp;D105&amp;IF(E105&lt;&gt;"",", "&amp;E105,"")&amp;CHAR(10)&amp;"................................."&amp;CHAR(10)&amp;IF(F105&gt;0,"Alfajor Maicena x7: "&amp;F105&amp;" pack. x $"&amp;TEXT($T105,"#,##0")&amp;" = $"&amp;TEXT(F105*$T105,"#,##0")&amp;CHAR(10),"")&amp;IF(G105&gt;0,"Alfajor Frutal x7: "&amp;G105&amp;" pack. x $"&amp;TEXT($T105,"#,##0")&amp;" = $"&amp;TEXT(G105*$T105,"#,##0")&amp;CHAR(10),"")&amp;IF(H105&gt;0,"Alfajor Santafesino x7: "&amp;H105&amp;" pack. x $"&amp;TEXT($T105,"#,##0")&amp;" = $"&amp;TEXT(H105*$T105,"#,##0")&amp;CHAR(10),"")&amp;IF(I105&gt;0,"Alfajor Maicena x14: "&amp;I105&amp;" pack. x $"&amp;TEXT($U105,"#,##0")&amp;" = $"&amp;TEXT(I105*$U105,"#,##0")&amp;CHAR(10),"")&amp;IF(J105&gt;0,"Pepas DDL: "&amp;J105&amp;" band. x $"&amp;TEXT($V105,"#,##0")&amp;" = $"&amp;TEXT(J105*$V105,"#,##0")&amp;CHAR(10),"")&amp;IF(K105&gt;0,"Pepas Membrillo: "&amp;K105&amp;" band. x $"&amp;TEXT($V105,"#,##0")&amp;" = $"&amp;TEXT(K105*$V105,"#,##0")&amp;CHAR(10),"")&amp;IF(L105&gt;0,"Pepas Arándano: "&amp;L105&amp;" band. x $"&amp;TEXT($V105,"#,##0")&amp;" = $"&amp;TEXT(L105*$V105,"#,##0")&amp;CHAR(10),"")&amp;IF(M105&gt;0,"Pepas Batata: "&amp;M105&amp;" band. x $"&amp;TEXT($V105,"#,##0")&amp;" = $"&amp;TEXT(M105*$V105,"#,##0")&amp;CHAR(10),"")&amp;IF(N105&gt;0,"Pepas Frutos del Bosque: "&amp;N105&amp;" band. x $"&amp;TEXT($V105,"#,##0")&amp;" = $"&amp;TEXT(N105*$V105,"#,##0")&amp;CHAR(10),"")&amp;"................................."&amp;CHAR(10)&amp;"*TOTAL: $"&amp;TEXT(P105,"#,##0")&amp;"*"&amp;CHAR(10)&amp;CHAR(10)&amp;"¡Gracias por tu pedido! 🙏")</f>
        <v/>
      </c>
      <c r="T105" s="78">
        <f>IF(C105="",Config!$B$5,IF(C105&gt;=Config!$B$2,Config!$C$5,Config!$B$5))</f>
        <v/>
      </c>
      <c r="U105" s="78">
        <f>IF(C105="",Config!$B$8,IF(C105&gt;=Config!$B$2,Config!$C$8,Config!$B$8))</f>
        <v/>
      </c>
      <c r="V105" s="78">
        <f>IF(C105="",Config!$B$9,IF(C105&gt;=Config!$B$2,Config!$C$9,Config!$B$9))</f>
        <v/>
      </c>
    </row>
    <row r="106" ht="60" customHeight="1" s="55">
      <c r="A106" s="72">
        <f>IF(D106="","",ROW()-4)</f>
        <v/>
      </c>
      <c r="B106" s="73" t="n"/>
      <c r="C106" s="73" t="n"/>
      <c r="D106" s="74" t="n"/>
      <c r="E106" s="74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2">
        <f>IF(D106="","",SUM(F106:N106))</f>
        <v/>
      </c>
      <c r="P106" s="76">
        <f>IF(D106="","",(F106+G106+H106)*T106+I106*U106+(J106+K106+L106+M106+N106)*V106)</f>
        <v/>
      </c>
      <c r="Q106" s="74" t="n"/>
      <c r="R106" s="77">
        <f>IF(OR(D106="",O106=0),"","🥮 *NUESTRO ALFAJOR*"&amp;CHAR(10)&amp;"Remito N° "&amp;A106&amp;CHAR(10)&amp;"Fecha entrega: "&amp;TEXT(C106,"DD/MM/YYYY")&amp;CHAR(10)&amp;"Cliente: "&amp;D106&amp;IF(E106&lt;&gt;"",", "&amp;E106,"")&amp;CHAR(10)&amp;"................................."&amp;CHAR(10)&amp;IF(F106&gt;0,"Alfajor Maicena x7: "&amp;F106&amp;" pack. x $"&amp;TEXT($T106,"#,##0")&amp;" = $"&amp;TEXT(F106*$T106,"#,##0")&amp;CHAR(10),"")&amp;IF(G106&gt;0,"Alfajor Frutal x7: "&amp;G106&amp;" pack. x $"&amp;TEXT($T106,"#,##0")&amp;" = $"&amp;TEXT(G106*$T106,"#,##0")&amp;CHAR(10),"")&amp;IF(H106&gt;0,"Alfajor Santafesino x7: "&amp;H106&amp;" pack. x $"&amp;TEXT($T106,"#,##0")&amp;" = $"&amp;TEXT(H106*$T106,"#,##0")&amp;CHAR(10),"")&amp;IF(I106&gt;0,"Alfajor Maicena x14: "&amp;I106&amp;" pack. x $"&amp;TEXT($U106,"#,##0")&amp;" = $"&amp;TEXT(I106*$U106,"#,##0")&amp;CHAR(10),"")&amp;IF(J106&gt;0,"Pepas DDL: "&amp;J106&amp;" band. x $"&amp;TEXT($V106,"#,##0")&amp;" = $"&amp;TEXT(J106*$V106,"#,##0")&amp;CHAR(10),"")&amp;IF(K106&gt;0,"Pepas Membrillo: "&amp;K106&amp;" band. x $"&amp;TEXT($V106,"#,##0")&amp;" = $"&amp;TEXT(K106*$V106,"#,##0")&amp;CHAR(10),"")&amp;IF(L106&gt;0,"Pepas Arándano: "&amp;L106&amp;" band. x $"&amp;TEXT($V106,"#,##0")&amp;" = $"&amp;TEXT(L106*$V106,"#,##0")&amp;CHAR(10),"")&amp;IF(M106&gt;0,"Pepas Batata: "&amp;M106&amp;" band. x $"&amp;TEXT($V106,"#,##0")&amp;" = $"&amp;TEXT(M106*$V106,"#,##0")&amp;CHAR(10),"")&amp;IF(N106&gt;0,"Pepas Frutos del Bosque: "&amp;N106&amp;" band. x $"&amp;TEXT($V106,"#,##0")&amp;" = $"&amp;TEXT(N106*$V106,"#,##0")&amp;CHAR(10),"")&amp;"................................."&amp;CHAR(10)&amp;"*TOTAL: $"&amp;TEXT(P106,"#,##0")&amp;"*"&amp;CHAR(10)&amp;CHAR(10)&amp;"¡Gracias por tu pedido! 🙏")</f>
        <v/>
      </c>
      <c r="T106" s="78">
        <f>IF(C106="",Config!$B$5,IF(C106&gt;=Config!$B$2,Config!$C$5,Config!$B$5))</f>
        <v/>
      </c>
      <c r="U106" s="78">
        <f>IF(C106="",Config!$B$8,IF(C106&gt;=Config!$B$2,Config!$C$8,Config!$B$8))</f>
        <v/>
      </c>
      <c r="V106" s="78">
        <f>IF(C106="",Config!$B$9,IF(C106&gt;=Config!$B$2,Config!$C$9,Config!$B$9))</f>
        <v/>
      </c>
    </row>
    <row r="107" ht="60" customHeight="1" s="55">
      <c r="A107" s="72">
        <f>IF(D107="","",ROW()-4)</f>
        <v/>
      </c>
      <c r="B107" s="73" t="n"/>
      <c r="C107" s="73" t="n"/>
      <c r="D107" s="74" t="n"/>
      <c r="E107" s="74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2">
        <f>IF(D107="","",SUM(F107:N107))</f>
        <v/>
      </c>
      <c r="P107" s="76">
        <f>IF(D107="","",(F107+G107+H107)*T107+I107*U107+(J107+K107+L107+M107+N107)*V107)</f>
        <v/>
      </c>
      <c r="Q107" s="74" t="n"/>
      <c r="R107" s="77">
        <f>IF(OR(D107="",O107=0),"","🥮 *NUESTRO ALFAJOR*"&amp;CHAR(10)&amp;"Remito N° "&amp;A107&amp;CHAR(10)&amp;"Fecha entrega: "&amp;TEXT(C107,"DD/MM/YYYY")&amp;CHAR(10)&amp;"Cliente: "&amp;D107&amp;IF(E107&lt;&gt;"",", "&amp;E107,"")&amp;CHAR(10)&amp;"................................."&amp;CHAR(10)&amp;IF(F107&gt;0,"Alfajor Maicena x7: "&amp;F107&amp;" pack. x $"&amp;TEXT($T107,"#,##0")&amp;" = $"&amp;TEXT(F107*$T107,"#,##0")&amp;CHAR(10),"")&amp;IF(G107&gt;0,"Alfajor Frutal x7: "&amp;G107&amp;" pack. x $"&amp;TEXT($T107,"#,##0")&amp;" = $"&amp;TEXT(G107*$T107,"#,##0")&amp;CHAR(10),"")&amp;IF(H107&gt;0,"Alfajor Santafesino x7: "&amp;H107&amp;" pack. x $"&amp;TEXT($T107,"#,##0")&amp;" = $"&amp;TEXT(H107*$T107,"#,##0")&amp;CHAR(10),"")&amp;IF(I107&gt;0,"Alfajor Maicena x14: "&amp;I107&amp;" pack. x $"&amp;TEXT($U107,"#,##0")&amp;" = $"&amp;TEXT(I107*$U107,"#,##0")&amp;CHAR(10),"")&amp;IF(J107&gt;0,"Pepas DDL: "&amp;J107&amp;" band. x $"&amp;TEXT($V107,"#,##0")&amp;" = $"&amp;TEXT(J107*$V107,"#,##0")&amp;CHAR(10),"")&amp;IF(K107&gt;0,"Pepas Membrillo: "&amp;K107&amp;" band. x $"&amp;TEXT($V107,"#,##0")&amp;" = $"&amp;TEXT(K107*$V107,"#,##0")&amp;CHAR(10),"")&amp;IF(L107&gt;0,"Pepas Arándano: "&amp;L107&amp;" band. x $"&amp;TEXT($V107,"#,##0")&amp;" = $"&amp;TEXT(L107*$V107,"#,##0")&amp;CHAR(10),"")&amp;IF(M107&gt;0,"Pepas Batata: "&amp;M107&amp;" band. x $"&amp;TEXT($V107,"#,##0")&amp;" = $"&amp;TEXT(M107*$V107,"#,##0")&amp;CHAR(10),"")&amp;IF(N107&gt;0,"Pepas Frutos del Bosque: "&amp;N107&amp;" band. x $"&amp;TEXT($V107,"#,##0")&amp;" = $"&amp;TEXT(N107*$V107,"#,##0")&amp;CHAR(10),"")&amp;"................................."&amp;CHAR(10)&amp;"*TOTAL: $"&amp;TEXT(P107,"#,##0")&amp;"*"&amp;CHAR(10)&amp;CHAR(10)&amp;"¡Gracias por tu pedido! 🙏")</f>
        <v/>
      </c>
      <c r="T107" s="78">
        <f>IF(C107="",Config!$B$5,IF(C107&gt;=Config!$B$2,Config!$C$5,Config!$B$5))</f>
        <v/>
      </c>
      <c r="U107" s="78">
        <f>IF(C107="",Config!$B$8,IF(C107&gt;=Config!$B$2,Config!$C$8,Config!$B$8))</f>
        <v/>
      </c>
      <c r="V107" s="78">
        <f>IF(C107="",Config!$B$9,IF(C107&gt;=Config!$B$2,Config!$C$9,Config!$B$9))</f>
        <v/>
      </c>
    </row>
    <row r="108" ht="60" customHeight="1" s="55">
      <c r="A108" s="72">
        <f>IF(D108="","",ROW()-4)</f>
        <v/>
      </c>
      <c r="B108" s="73" t="n"/>
      <c r="C108" s="73" t="n"/>
      <c r="D108" s="74" t="n"/>
      <c r="E108" s="74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2">
        <f>IF(D108="","",SUM(F108:N108))</f>
        <v/>
      </c>
      <c r="P108" s="76">
        <f>IF(D108="","",(F108+G108+H108)*T108+I108*U108+(J108+K108+L108+M108+N108)*V108)</f>
        <v/>
      </c>
      <c r="Q108" s="74" t="n"/>
      <c r="R108" s="77">
        <f>IF(OR(D108="",O108=0),"","🥮 *NUESTRO ALFAJOR*"&amp;CHAR(10)&amp;"Remito N° "&amp;A108&amp;CHAR(10)&amp;"Fecha entrega: "&amp;TEXT(C108,"DD/MM/YYYY")&amp;CHAR(10)&amp;"Cliente: "&amp;D108&amp;IF(E108&lt;&gt;"",", "&amp;E108,"")&amp;CHAR(10)&amp;"................................."&amp;CHAR(10)&amp;IF(F108&gt;0,"Alfajor Maicena x7: "&amp;F108&amp;" pack. x $"&amp;TEXT($T108,"#,##0")&amp;" = $"&amp;TEXT(F108*$T108,"#,##0")&amp;CHAR(10),"")&amp;IF(G108&gt;0,"Alfajor Frutal x7: "&amp;G108&amp;" pack. x $"&amp;TEXT($T108,"#,##0")&amp;" = $"&amp;TEXT(G108*$T108,"#,##0")&amp;CHAR(10),"")&amp;IF(H108&gt;0,"Alfajor Santafesino x7: "&amp;H108&amp;" pack. x $"&amp;TEXT($T108,"#,##0")&amp;" = $"&amp;TEXT(H108*$T108,"#,##0")&amp;CHAR(10),"")&amp;IF(I108&gt;0,"Alfajor Maicena x14: "&amp;I108&amp;" pack. x $"&amp;TEXT($U108,"#,##0")&amp;" = $"&amp;TEXT(I108*$U108,"#,##0")&amp;CHAR(10),"")&amp;IF(J108&gt;0,"Pepas DDL: "&amp;J108&amp;" band. x $"&amp;TEXT($V108,"#,##0")&amp;" = $"&amp;TEXT(J108*$V108,"#,##0")&amp;CHAR(10),"")&amp;IF(K108&gt;0,"Pepas Membrillo: "&amp;K108&amp;" band. x $"&amp;TEXT($V108,"#,##0")&amp;" = $"&amp;TEXT(K108*$V108,"#,##0")&amp;CHAR(10),"")&amp;IF(L108&gt;0,"Pepas Arándano: "&amp;L108&amp;" band. x $"&amp;TEXT($V108,"#,##0")&amp;" = $"&amp;TEXT(L108*$V108,"#,##0")&amp;CHAR(10),"")&amp;IF(M108&gt;0,"Pepas Batata: "&amp;M108&amp;" band. x $"&amp;TEXT($V108,"#,##0")&amp;" = $"&amp;TEXT(M108*$V108,"#,##0")&amp;CHAR(10),"")&amp;IF(N108&gt;0,"Pepas Frutos del Bosque: "&amp;N108&amp;" band. x $"&amp;TEXT($V108,"#,##0")&amp;" = $"&amp;TEXT(N108*$V108,"#,##0")&amp;CHAR(10),"")&amp;"................................."&amp;CHAR(10)&amp;"*TOTAL: $"&amp;TEXT(P108,"#,##0")&amp;"*"&amp;CHAR(10)&amp;CHAR(10)&amp;"¡Gracias por tu pedido! 🙏")</f>
        <v/>
      </c>
      <c r="T108" s="78">
        <f>IF(C108="",Config!$B$5,IF(C108&gt;=Config!$B$2,Config!$C$5,Config!$B$5))</f>
        <v/>
      </c>
      <c r="U108" s="78">
        <f>IF(C108="",Config!$B$8,IF(C108&gt;=Config!$B$2,Config!$C$8,Config!$B$8))</f>
        <v/>
      </c>
      <c r="V108" s="78">
        <f>IF(C108="",Config!$B$9,IF(C108&gt;=Config!$B$2,Config!$C$9,Config!$B$9))</f>
        <v/>
      </c>
    </row>
    <row r="109" ht="60" customHeight="1" s="55">
      <c r="A109" s="72">
        <f>IF(D109="","",ROW()-4)</f>
        <v/>
      </c>
      <c r="B109" s="73" t="n"/>
      <c r="C109" s="73" t="n"/>
      <c r="D109" s="74" t="n"/>
      <c r="E109" s="74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2">
        <f>IF(D109="","",SUM(F109:N109))</f>
        <v/>
      </c>
      <c r="P109" s="76">
        <f>IF(D109="","",(F109+G109+H109)*T109+I109*U109+(J109+K109+L109+M109+N109)*V109)</f>
        <v/>
      </c>
      <c r="Q109" s="74" t="n"/>
      <c r="R109" s="77">
        <f>IF(OR(D109="",O109=0),"","🥮 *NUESTRO ALFAJOR*"&amp;CHAR(10)&amp;"Remito N° "&amp;A109&amp;CHAR(10)&amp;"Fecha entrega: "&amp;TEXT(C109,"DD/MM/YYYY")&amp;CHAR(10)&amp;"Cliente: "&amp;D109&amp;IF(E109&lt;&gt;"",", "&amp;E109,"")&amp;CHAR(10)&amp;"................................."&amp;CHAR(10)&amp;IF(F109&gt;0,"Alfajor Maicena x7: "&amp;F109&amp;" pack. x $"&amp;TEXT($T109,"#,##0")&amp;" = $"&amp;TEXT(F109*$T109,"#,##0")&amp;CHAR(10),"")&amp;IF(G109&gt;0,"Alfajor Frutal x7: "&amp;G109&amp;" pack. x $"&amp;TEXT($T109,"#,##0")&amp;" = $"&amp;TEXT(G109*$T109,"#,##0")&amp;CHAR(10),"")&amp;IF(H109&gt;0,"Alfajor Santafesino x7: "&amp;H109&amp;" pack. x $"&amp;TEXT($T109,"#,##0")&amp;" = $"&amp;TEXT(H109*$T109,"#,##0")&amp;CHAR(10),"")&amp;IF(I109&gt;0,"Alfajor Maicena x14: "&amp;I109&amp;" pack. x $"&amp;TEXT($U109,"#,##0")&amp;" = $"&amp;TEXT(I109*$U109,"#,##0")&amp;CHAR(10),"")&amp;IF(J109&gt;0,"Pepas DDL: "&amp;J109&amp;" band. x $"&amp;TEXT($V109,"#,##0")&amp;" = $"&amp;TEXT(J109*$V109,"#,##0")&amp;CHAR(10),"")&amp;IF(K109&gt;0,"Pepas Membrillo: "&amp;K109&amp;" band. x $"&amp;TEXT($V109,"#,##0")&amp;" = $"&amp;TEXT(K109*$V109,"#,##0")&amp;CHAR(10),"")&amp;IF(L109&gt;0,"Pepas Arándano: "&amp;L109&amp;" band. x $"&amp;TEXT($V109,"#,##0")&amp;" = $"&amp;TEXT(L109*$V109,"#,##0")&amp;CHAR(10),"")&amp;IF(M109&gt;0,"Pepas Batata: "&amp;M109&amp;" band. x $"&amp;TEXT($V109,"#,##0")&amp;" = $"&amp;TEXT(M109*$V109,"#,##0")&amp;CHAR(10),"")&amp;IF(N109&gt;0,"Pepas Frutos del Bosque: "&amp;N109&amp;" band. x $"&amp;TEXT($V109,"#,##0")&amp;" = $"&amp;TEXT(N109*$V109,"#,##0")&amp;CHAR(10),"")&amp;"................................."&amp;CHAR(10)&amp;"*TOTAL: $"&amp;TEXT(P109,"#,##0")&amp;"*"&amp;CHAR(10)&amp;CHAR(10)&amp;"¡Gracias por tu pedido! 🙏")</f>
        <v/>
      </c>
      <c r="T109" s="78">
        <f>IF(C109="",Config!$B$5,IF(C109&gt;=Config!$B$2,Config!$C$5,Config!$B$5))</f>
        <v/>
      </c>
      <c r="U109" s="78">
        <f>IF(C109="",Config!$B$8,IF(C109&gt;=Config!$B$2,Config!$C$8,Config!$B$8))</f>
        <v/>
      </c>
      <c r="V109" s="78">
        <f>IF(C109="",Config!$B$9,IF(C109&gt;=Config!$B$2,Config!$C$9,Config!$B$9))</f>
        <v/>
      </c>
    </row>
    <row r="110" ht="60" customHeight="1" s="55">
      <c r="A110" s="72">
        <f>IF(D110="","",ROW()-4)</f>
        <v/>
      </c>
      <c r="B110" s="73" t="n"/>
      <c r="C110" s="73" t="n"/>
      <c r="D110" s="74" t="n"/>
      <c r="E110" s="74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2">
        <f>IF(D110="","",SUM(F110:N110))</f>
        <v/>
      </c>
      <c r="P110" s="76">
        <f>IF(D110="","",(F110+G110+H110)*T110+I110*U110+(J110+K110+L110+M110+N110)*V110)</f>
        <v/>
      </c>
      <c r="Q110" s="74" t="n"/>
      <c r="R110" s="77">
        <f>IF(OR(D110="",O110=0),"","🥮 *NUESTRO ALFAJOR*"&amp;CHAR(10)&amp;"Remito N° "&amp;A110&amp;CHAR(10)&amp;"Fecha entrega: "&amp;TEXT(C110,"DD/MM/YYYY")&amp;CHAR(10)&amp;"Cliente: "&amp;D110&amp;IF(E110&lt;&gt;"",", "&amp;E110,"")&amp;CHAR(10)&amp;"................................."&amp;CHAR(10)&amp;IF(F110&gt;0,"Alfajor Maicena x7: "&amp;F110&amp;" pack. x $"&amp;TEXT($T110,"#,##0")&amp;" = $"&amp;TEXT(F110*$T110,"#,##0")&amp;CHAR(10),"")&amp;IF(G110&gt;0,"Alfajor Frutal x7: "&amp;G110&amp;" pack. x $"&amp;TEXT($T110,"#,##0")&amp;" = $"&amp;TEXT(G110*$T110,"#,##0")&amp;CHAR(10),"")&amp;IF(H110&gt;0,"Alfajor Santafesino x7: "&amp;H110&amp;" pack. x $"&amp;TEXT($T110,"#,##0")&amp;" = $"&amp;TEXT(H110*$T110,"#,##0")&amp;CHAR(10),"")&amp;IF(I110&gt;0,"Alfajor Maicena x14: "&amp;I110&amp;" pack. x $"&amp;TEXT($U110,"#,##0")&amp;" = $"&amp;TEXT(I110*$U110,"#,##0")&amp;CHAR(10),"")&amp;IF(J110&gt;0,"Pepas DDL: "&amp;J110&amp;" band. x $"&amp;TEXT($V110,"#,##0")&amp;" = $"&amp;TEXT(J110*$V110,"#,##0")&amp;CHAR(10),"")&amp;IF(K110&gt;0,"Pepas Membrillo: "&amp;K110&amp;" band. x $"&amp;TEXT($V110,"#,##0")&amp;" = $"&amp;TEXT(K110*$V110,"#,##0")&amp;CHAR(10),"")&amp;IF(L110&gt;0,"Pepas Arándano: "&amp;L110&amp;" band. x $"&amp;TEXT($V110,"#,##0")&amp;" = $"&amp;TEXT(L110*$V110,"#,##0")&amp;CHAR(10),"")&amp;IF(M110&gt;0,"Pepas Batata: "&amp;M110&amp;" band. x $"&amp;TEXT($V110,"#,##0")&amp;" = $"&amp;TEXT(M110*$V110,"#,##0")&amp;CHAR(10),"")&amp;IF(N110&gt;0,"Pepas Frutos del Bosque: "&amp;N110&amp;" band. x $"&amp;TEXT($V110,"#,##0")&amp;" = $"&amp;TEXT(N110*$V110,"#,##0")&amp;CHAR(10),"")&amp;"................................."&amp;CHAR(10)&amp;"*TOTAL: $"&amp;TEXT(P110,"#,##0")&amp;"*"&amp;CHAR(10)&amp;CHAR(10)&amp;"¡Gracias por tu pedido! 🙏")</f>
        <v/>
      </c>
      <c r="T110" s="78">
        <f>IF(C110="",Config!$B$5,IF(C110&gt;=Config!$B$2,Config!$C$5,Config!$B$5))</f>
        <v/>
      </c>
      <c r="U110" s="78">
        <f>IF(C110="",Config!$B$8,IF(C110&gt;=Config!$B$2,Config!$C$8,Config!$B$8))</f>
        <v/>
      </c>
      <c r="V110" s="78">
        <f>IF(C110="",Config!$B$9,IF(C110&gt;=Config!$B$2,Config!$C$9,Config!$B$9))</f>
        <v/>
      </c>
    </row>
    <row r="111" ht="60" customHeight="1" s="55">
      <c r="A111" s="72">
        <f>IF(D111="","",ROW()-4)</f>
        <v/>
      </c>
      <c r="B111" s="73" t="n"/>
      <c r="C111" s="73" t="n"/>
      <c r="D111" s="74" t="n"/>
      <c r="E111" s="74" t="n"/>
      <c r="F111" s="75" t="n"/>
      <c r="G111" s="75" t="n"/>
      <c r="H111" s="75" t="n"/>
      <c r="I111" s="75" t="n"/>
      <c r="J111" s="75" t="n"/>
      <c r="K111" s="75" t="n"/>
      <c r="L111" s="75" t="n"/>
      <c r="M111" s="75" t="n"/>
      <c r="N111" s="75" t="n"/>
      <c r="O111" s="72">
        <f>IF(D111="","",SUM(F111:N111))</f>
        <v/>
      </c>
      <c r="P111" s="76">
        <f>IF(D111="","",(F111+G111+H111)*T111+I111*U111+(J111+K111+L111+M111+N111)*V111)</f>
        <v/>
      </c>
      <c r="Q111" s="74" t="n"/>
      <c r="R111" s="77">
        <f>IF(OR(D111="",O111=0),"","🥮 *NUESTRO ALFAJOR*"&amp;CHAR(10)&amp;"Remito N° "&amp;A111&amp;CHAR(10)&amp;"Fecha entrega: "&amp;TEXT(C111,"DD/MM/YYYY")&amp;CHAR(10)&amp;"Cliente: "&amp;D111&amp;IF(E111&lt;&gt;"",", "&amp;E111,"")&amp;CHAR(10)&amp;"................................."&amp;CHAR(10)&amp;IF(F111&gt;0,"Alfajor Maicena x7: "&amp;F111&amp;" pack. x $"&amp;TEXT($T111,"#,##0")&amp;" = $"&amp;TEXT(F111*$T111,"#,##0")&amp;CHAR(10),"")&amp;IF(G111&gt;0,"Alfajor Frutal x7: "&amp;G111&amp;" pack. x $"&amp;TEXT($T111,"#,##0")&amp;" = $"&amp;TEXT(G111*$T111,"#,##0")&amp;CHAR(10),"")&amp;IF(H111&gt;0,"Alfajor Santafesino x7: "&amp;H111&amp;" pack. x $"&amp;TEXT($T111,"#,##0")&amp;" = $"&amp;TEXT(H111*$T111,"#,##0")&amp;CHAR(10),"")&amp;IF(I111&gt;0,"Alfajor Maicena x14: "&amp;I111&amp;" pack. x $"&amp;TEXT($U111,"#,##0")&amp;" = $"&amp;TEXT(I111*$U111,"#,##0")&amp;CHAR(10),"")&amp;IF(J111&gt;0,"Pepas DDL: "&amp;J111&amp;" band. x $"&amp;TEXT($V111,"#,##0")&amp;" = $"&amp;TEXT(J111*$V111,"#,##0")&amp;CHAR(10),"")&amp;IF(K111&gt;0,"Pepas Membrillo: "&amp;K111&amp;" band. x $"&amp;TEXT($V111,"#,##0")&amp;" = $"&amp;TEXT(K111*$V111,"#,##0")&amp;CHAR(10),"")&amp;IF(L111&gt;0,"Pepas Arándano: "&amp;L111&amp;" band. x $"&amp;TEXT($V111,"#,##0")&amp;" = $"&amp;TEXT(L111*$V111,"#,##0")&amp;CHAR(10),"")&amp;IF(M111&gt;0,"Pepas Batata: "&amp;M111&amp;" band. x $"&amp;TEXT($V111,"#,##0")&amp;" = $"&amp;TEXT(M111*$V111,"#,##0")&amp;CHAR(10),"")&amp;IF(N111&gt;0,"Pepas Frutos del Bosque: "&amp;N111&amp;" band. x $"&amp;TEXT($V111,"#,##0")&amp;" = $"&amp;TEXT(N111*$V111,"#,##0")&amp;CHAR(10),"")&amp;"................................."&amp;CHAR(10)&amp;"*TOTAL: $"&amp;TEXT(P111,"#,##0")&amp;"*"&amp;CHAR(10)&amp;CHAR(10)&amp;"¡Gracias por tu pedido! 🙏")</f>
        <v/>
      </c>
      <c r="T111" s="78">
        <f>IF(C111="",Config!$B$5,IF(C111&gt;=Config!$B$2,Config!$C$5,Config!$B$5))</f>
        <v/>
      </c>
      <c r="U111" s="78">
        <f>IF(C111="",Config!$B$8,IF(C111&gt;=Config!$B$2,Config!$C$8,Config!$B$8))</f>
        <v/>
      </c>
      <c r="V111" s="78">
        <f>IF(C111="",Config!$B$9,IF(C111&gt;=Config!$B$2,Config!$C$9,Config!$B$9))</f>
        <v/>
      </c>
    </row>
    <row r="112" ht="60" customHeight="1" s="55">
      <c r="A112" s="72">
        <f>IF(D112="","",ROW()-4)</f>
        <v/>
      </c>
      <c r="B112" s="73" t="n"/>
      <c r="C112" s="73" t="n"/>
      <c r="D112" s="74" t="n"/>
      <c r="E112" s="74" t="n"/>
      <c r="F112" s="7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2">
        <f>IF(D112="","",SUM(F112:N112))</f>
        <v/>
      </c>
      <c r="P112" s="76">
        <f>IF(D112="","",(F112+G112+H112)*T112+I112*U112+(J112+K112+L112+M112+N112)*V112)</f>
        <v/>
      </c>
      <c r="Q112" s="74" t="n"/>
      <c r="R112" s="77">
        <f>IF(OR(D112="",O112=0),"","🥮 *NUESTRO ALFAJOR*"&amp;CHAR(10)&amp;"Remito N° "&amp;A112&amp;CHAR(10)&amp;"Fecha entrega: "&amp;TEXT(C112,"DD/MM/YYYY")&amp;CHAR(10)&amp;"Cliente: "&amp;D112&amp;IF(E112&lt;&gt;"",", "&amp;E112,"")&amp;CHAR(10)&amp;"................................."&amp;CHAR(10)&amp;IF(F112&gt;0,"Alfajor Maicena x7: "&amp;F112&amp;" pack. x $"&amp;TEXT($T112,"#,##0")&amp;" = $"&amp;TEXT(F112*$T112,"#,##0")&amp;CHAR(10),"")&amp;IF(G112&gt;0,"Alfajor Frutal x7: "&amp;G112&amp;" pack. x $"&amp;TEXT($T112,"#,##0")&amp;" = $"&amp;TEXT(G112*$T112,"#,##0")&amp;CHAR(10),"")&amp;IF(H112&gt;0,"Alfajor Santafesino x7: "&amp;H112&amp;" pack. x $"&amp;TEXT($T112,"#,##0")&amp;" = $"&amp;TEXT(H112*$T112,"#,##0")&amp;CHAR(10),"")&amp;IF(I112&gt;0,"Alfajor Maicena x14: "&amp;I112&amp;" pack. x $"&amp;TEXT($U112,"#,##0")&amp;" = $"&amp;TEXT(I112*$U112,"#,##0")&amp;CHAR(10),"")&amp;IF(J112&gt;0,"Pepas DDL: "&amp;J112&amp;" band. x $"&amp;TEXT($V112,"#,##0")&amp;" = $"&amp;TEXT(J112*$V112,"#,##0")&amp;CHAR(10),"")&amp;IF(K112&gt;0,"Pepas Membrillo: "&amp;K112&amp;" band. x $"&amp;TEXT($V112,"#,##0")&amp;" = $"&amp;TEXT(K112*$V112,"#,##0")&amp;CHAR(10),"")&amp;IF(L112&gt;0,"Pepas Arándano: "&amp;L112&amp;" band. x $"&amp;TEXT($V112,"#,##0")&amp;" = $"&amp;TEXT(L112*$V112,"#,##0")&amp;CHAR(10),"")&amp;IF(M112&gt;0,"Pepas Batata: "&amp;M112&amp;" band. x $"&amp;TEXT($V112,"#,##0")&amp;" = $"&amp;TEXT(M112*$V112,"#,##0")&amp;CHAR(10),"")&amp;IF(N112&gt;0,"Pepas Frutos del Bosque: "&amp;N112&amp;" band. x $"&amp;TEXT($V112,"#,##0")&amp;" = $"&amp;TEXT(N112*$V112,"#,##0")&amp;CHAR(10),"")&amp;"................................."&amp;CHAR(10)&amp;"*TOTAL: $"&amp;TEXT(P112,"#,##0")&amp;"*"&amp;CHAR(10)&amp;CHAR(10)&amp;"¡Gracias por tu pedido! 🙏")</f>
        <v/>
      </c>
      <c r="T112" s="78">
        <f>IF(C112="",Config!$B$5,IF(C112&gt;=Config!$B$2,Config!$C$5,Config!$B$5))</f>
        <v/>
      </c>
      <c r="U112" s="78">
        <f>IF(C112="",Config!$B$8,IF(C112&gt;=Config!$B$2,Config!$C$8,Config!$B$8))</f>
        <v/>
      </c>
      <c r="V112" s="78">
        <f>IF(C112="",Config!$B$9,IF(C112&gt;=Config!$B$2,Config!$C$9,Config!$B$9))</f>
        <v/>
      </c>
    </row>
    <row r="113" ht="60" customHeight="1" s="55">
      <c r="A113" s="72">
        <f>IF(D113="","",ROW()-4)</f>
        <v/>
      </c>
      <c r="B113" s="73" t="n"/>
      <c r="C113" s="73" t="n"/>
      <c r="D113" s="74" t="n"/>
      <c r="E113" s="74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2">
        <f>IF(D113="","",SUM(F113:N113))</f>
        <v/>
      </c>
      <c r="P113" s="76">
        <f>IF(D113="","",(F113+G113+H113)*T113+I113*U113+(J113+K113+L113+M113+N113)*V113)</f>
        <v/>
      </c>
      <c r="Q113" s="74" t="n"/>
      <c r="R113" s="77">
        <f>IF(OR(D113="",O113=0),"","🥮 *NUESTRO ALFAJOR*"&amp;CHAR(10)&amp;"Remito N° "&amp;A113&amp;CHAR(10)&amp;"Fecha entrega: "&amp;TEXT(C113,"DD/MM/YYYY")&amp;CHAR(10)&amp;"Cliente: "&amp;D113&amp;IF(E113&lt;&gt;"",", "&amp;E113,"")&amp;CHAR(10)&amp;"................................."&amp;CHAR(10)&amp;IF(F113&gt;0,"Alfajor Maicena x7: "&amp;F113&amp;" pack. x $"&amp;TEXT($T113,"#,##0")&amp;" = $"&amp;TEXT(F113*$T113,"#,##0")&amp;CHAR(10),"")&amp;IF(G113&gt;0,"Alfajor Frutal x7: "&amp;G113&amp;" pack. x $"&amp;TEXT($T113,"#,##0")&amp;" = $"&amp;TEXT(G113*$T113,"#,##0")&amp;CHAR(10),"")&amp;IF(H113&gt;0,"Alfajor Santafesino x7: "&amp;H113&amp;" pack. x $"&amp;TEXT($T113,"#,##0")&amp;" = $"&amp;TEXT(H113*$T113,"#,##0")&amp;CHAR(10),"")&amp;IF(I113&gt;0,"Alfajor Maicena x14: "&amp;I113&amp;" pack. x $"&amp;TEXT($U113,"#,##0")&amp;" = $"&amp;TEXT(I113*$U113,"#,##0")&amp;CHAR(10),"")&amp;IF(J113&gt;0,"Pepas DDL: "&amp;J113&amp;" band. x $"&amp;TEXT($V113,"#,##0")&amp;" = $"&amp;TEXT(J113*$V113,"#,##0")&amp;CHAR(10),"")&amp;IF(K113&gt;0,"Pepas Membrillo: "&amp;K113&amp;" band. x $"&amp;TEXT($V113,"#,##0")&amp;" = $"&amp;TEXT(K113*$V113,"#,##0")&amp;CHAR(10),"")&amp;IF(L113&gt;0,"Pepas Arándano: "&amp;L113&amp;" band. x $"&amp;TEXT($V113,"#,##0")&amp;" = $"&amp;TEXT(L113*$V113,"#,##0")&amp;CHAR(10),"")&amp;IF(M113&gt;0,"Pepas Batata: "&amp;M113&amp;" band. x $"&amp;TEXT($V113,"#,##0")&amp;" = $"&amp;TEXT(M113*$V113,"#,##0")&amp;CHAR(10),"")&amp;IF(N113&gt;0,"Pepas Frutos del Bosque: "&amp;N113&amp;" band. x $"&amp;TEXT($V113,"#,##0")&amp;" = $"&amp;TEXT(N113*$V113,"#,##0")&amp;CHAR(10),"")&amp;"................................."&amp;CHAR(10)&amp;"*TOTAL: $"&amp;TEXT(P113,"#,##0")&amp;"*"&amp;CHAR(10)&amp;CHAR(10)&amp;"¡Gracias por tu pedido! 🙏")</f>
        <v/>
      </c>
      <c r="T113" s="78">
        <f>IF(C113="",Config!$B$5,IF(C113&gt;=Config!$B$2,Config!$C$5,Config!$B$5))</f>
        <v/>
      </c>
      <c r="U113" s="78">
        <f>IF(C113="",Config!$B$8,IF(C113&gt;=Config!$B$2,Config!$C$8,Config!$B$8))</f>
        <v/>
      </c>
      <c r="V113" s="78">
        <f>IF(C113="",Config!$B$9,IF(C113&gt;=Config!$B$2,Config!$C$9,Config!$B$9))</f>
        <v/>
      </c>
    </row>
    <row r="114" ht="60" customHeight="1" s="55">
      <c r="A114" s="72">
        <f>IF(D114="","",ROW()-4)</f>
        <v/>
      </c>
      <c r="B114" s="73" t="n"/>
      <c r="C114" s="73" t="n"/>
      <c r="D114" s="74" t="n"/>
      <c r="E114" s="74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2">
        <f>IF(D114="","",SUM(F114:N114))</f>
        <v/>
      </c>
      <c r="P114" s="76">
        <f>IF(D114="","",(F114+G114+H114)*T114+I114*U114+(J114+K114+L114+M114+N114)*V114)</f>
        <v/>
      </c>
      <c r="Q114" s="74" t="n"/>
      <c r="R114" s="77">
        <f>IF(OR(D114="",O114=0),"","🥮 *NUESTRO ALFAJOR*"&amp;CHAR(10)&amp;"Remito N° "&amp;A114&amp;CHAR(10)&amp;"Fecha entrega: "&amp;TEXT(C114,"DD/MM/YYYY")&amp;CHAR(10)&amp;"Cliente: "&amp;D114&amp;IF(E114&lt;&gt;"",", "&amp;E114,"")&amp;CHAR(10)&amp;"................................."&amp;CHAR(10)&amp;IF(F114&gt;0,"Alfajor Maicena x7: "&amp;F114&amp;" pack. x $"&amp;TEXT($T114,"#,##0")&amp;" = $"&amp;TEXT(F114*$T114,"#,##0")&amp;CHAR(10),"")&amp;IF(G114&gt;0,"Alfajor Frutal x7: "&amp;G114&amp;" pack. x $"&amp;TEXT($T114,"#,##0")&amp;" = $"&amp;TEXT(G114*$T114,"#,##0")&amp;CHAR(10),"")&amp;IF(H114&gt;0,"Alfajor Santafesino x7: "&amp;H114&amp;" pack. x $"&amp;TEXT($T114,"#,##0")&amp;" = $"&amp;TEXT(H114*$T114,"#,##0")&amp;CHAR(10),"")&amp;IF(I114&gt;0,"Alfajor Maicena x14: "&amp;I114&amp;" pack. x $"&amp;TEXT($U114,"#,##0")&amp;" = $"&amp;TEXT(I114*$U114,"#,##0")&amp;CHAR(10),"")&amp;IF(J114&gt;0,"Pepas DDL: "&amp;J114&amp;" band. x $"&amp;TEXT($V114,"#,##0")&amp;" = $"&amp;TEXT(J114*$V114,"#,##0")&amp;CHAR(10),"")&amp;IF(K114&gt;0,"Pepas Membrillo: "&amp;K114&amp;" band. x $"&amp;TEXT($V114,"#,##0")&amp;" = $"&amp;TEXT(K114*$V114,"#,##0")&amp;CHAR(10),"")&amp;IF(L114&gt;0,"Pepas Arándano: "&amp;L114&amp;" band. x $"&amp;TEXT($V114,"#,##0")&amp;" = $"&amp;TEXT(L114*$V114,"#,##0")&amp;CHAR(10),"")&amp;IF(M114&gt;0,"Pepas Batata: "&amp;M114&amp;" band. x $"&amp;TEXT($V114,"#,##0")&amp;" = $"&amp;TEXT(M114*$V114,"#,##0")&amp;CHAR(10),"")&amp;IF(N114&gt;0,"Pepas Frutos del Bosque: "&amp;N114&amp;" band. x $"&amp;TEXT($V114,"#,##0")&amp;" = $"&amp;TEXT(N114*$V114,"#,##0")&amp;CHAR(10),"")&amp;"................................."&amp;CHAR(10)&amp;"*TOTAL: $"&amp;TEXT(P114,"#,##0")&amp;"*"&amp;CHAR(10)&amp;CHAR(10)&amp;"¡Gracias por tu pedido! 🙏")</f>
        <v/>
      </c>
      <c r="T114" s="78">
        <f>IF(C114="",Config!$B$5,IF(C114&gt;=Config!$B$2,Config!$C$5,Config!$B$5))</f>
        <v/>
      </c>
      <c r="U114" s="78">
        <f>IF(C114="",Config!$B$8,IF(C114&gt;=Config!$B$2,Config!$C$8,Config!$B$8))</f>
        <v/>
      </c>
      <c r="V114" s="78">
        <f>IF(C114="",Config!$B$9,IF(C114&gt;=Config!$B$2,Config!$C$9,Config!$B$9))</f>
        <v/>
      </c>
    </row>
    <row r="115" ht="60" customHeight="1" s="55">
      <c r="A115" s="72">
        <f>IF(D115="","",ROW()-4)</f>
        <v/>
      </c>
      <c r="B115" s="73" t="n"/>
      <c r="C115" s="73" t="n"/>
      <c r="D115" s="74" t="n"/>
      <c r="E115" s="74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2">
        <f>IF(D115="","",SUM(F115:N115))</f>
        <v/>
      </c>
      <c r="P115" s="76">
        <f>IF(D115="","",(F115+G115+H115)*T115+I115*U115+(J115+K115+L115+M115+N115)*V115)</f>
        <v/>
      </c>
      <c r="Q115" s="74" t="n"/>
      <c r="R115" s="77">
        <f>IF(OR(D115="",O115=0),"","🥮 *NUESTRO ALFAJOR*"&amp;CHAR(10)&amp;"Remito N° "&amp;A115&amp;CHAR(10)&amp;"Fecha entrega: "&amp;TEXT(C115,"DD/MM/YYYY")&amp;CHAR(10)&amp;"Cliente: "&amp;D115&amp;IF(E115&lt;&gt;"",", "&amp;E115,"")&amp;CHAR(10)&amp;"................................."&amp;CHAR(10)&amp;IF(F115&gt;0,"Alfajor Maicena x7: "&amp;F115&amp;" pack. x $"&amp;TEXT($T115,"#,##0")&amp;" = $"&amp;TEXT(F115*$T115,"#,##0")&amp;CHAR(10),"")&amp;IF(G115&gt;0,"Alfajor Frutal x7: "&amp;G115&amp;" pack. x $"&amp;TEXT($T115,"#,##0")&amp;" = $"&amp;TEXT(G115*$T115,"#,##0")&amp;CHAR(10),"")&amp;IF(H115&gt;0,"Alfajor Santafesino x7: "&amp;H115&amp;" pack. x $"&amp;TEXT($T115,"#,##0")&amp;" = $"&amp;TEXT(H115*$T115,"#,##0")&amp;CHAR(10),"")&amp;IF(I115&gt;0,"Alfajor Maicena x14: "&amp;I115&amp;" pack. x $"&amp;TEXT($U115,"#,##0")&amp;" = $"&amp;TEXT(I115*$U115,"#,##0")&amp;CHAR(10),"")&amp;IF(J115&gt;0,"Pepas DDL: "&amp;J115&amp;" band. x $"&amp;TEXT($V115,"#,##0")&amp;" = $"&amp;TEXT(J115*$V115,"#,##0")&amp;CHAR(10),"")&amp;IF(K115&gt;0,"Pepas Membrillo: "&amp;K115&amp;" band. x $"&amp;TEXT($V115,"#,##0")&amp;" = $"&amp;TEXT(K115*$V115,"#,##0")&amp;CHAR(10),"")&amp;IF(L115&gt;0,"Pepas Arándano: "&amp;L115&amp;" band. x $"&amp;TEXT($V115,"#,##0")&amp;" = $"&amp;TEXT(L115*$V115,"#,##0")&amp;CHAR(10),"")&amp;IF(M115&gt;0,"Pepas Batata: "&amp;M115&amp;" band. x $"&amp;TEXT($V115,"#,##0")&amp;" = $"&amp;TEXT(M115*$V115,"#,##0")&amp;CHAR(10),"")&amp;IF(N115&gt;0,"Pepas Frutos del Bosque: "&amp;N115&amp;" band. x $"&amp;TEXT($V115,"#,##0")&amp;" = $"&amp;TEXT(N115*$V115,"#,##0")&amp;CHAR(10),"")&amp;"................................."&amp;CHAR(10)&amp;"*TOTAL: $"&amp;TEXT(P115,"#,##0")&amp;"*"&amp;CHAR(10)&amp;CHAR(10)&amp;"¡Gracias por tu pedido! 🙏")</f>
        <v/>
      </c>
      <c r="T115" s="78">
        <f>IF(C115="",Config!$B$5,IF(C115&gt;=Config!$B$2,Config!$C$5,Config!$B$5))</f>
        <v/>
      </c>
      <c r="U115" s="78">
        <f>IF(C115="",Config!$B$8,IF(C115&gt;=Config!$B$2,Config!$C$8,Config!$B$8))</f>
        <v/>
      </c>
      <c r="V115" s="78">
        <f>IF(C115="",Config!$B$9,IF(C115&gt;=Config!$B$2,Config!$C$9,Config!$B$9))</f>
        <v/>
      </c>
    </row>
    <row r="116" ht="60" customHeight="1" s="55">
      <c r="A116" s="72">
        <f>IF(D116="","",ROW()-4)</f>
        <v/>
      </c>
      <c r="B116" s="73" t="n"/>
      <c r="C116" s="73" t="n"/>
      <c r="D116" s="74" t="n"/>
      <c r="E116" s="74" t="n"/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2">
        <f>IF(D116="","",SUM(F116:N116))</f>
        <v/>
      </c>
      <c r="P116" s="76">
        <f>IF(D116="","",(F116+G116+H116)*T116+I116*U116+(J116+K116+L116+M116+N116)*V116)</f>
        <v/>
      </c>
      <c r="Q116" s="74" t="n"/>
      <c r="R116" s="77">
        <f>IF(OR(D116="",O116=0),"","🥮 *NUESTRO ALFAJOR*"&amp;CHAR(10)&amp;"Remito N° "&amp;A116&amp;CHAR(10)&amp;"Fecha entrega: "&amp;TEXT(C116,"DD/MM/YYYY")&amp;CHAR(10)&amp;"Cliente: "&amp;D116&amp;IF(E116&lt;&gt;"",", "&amp;E116,"")&amp;CHAR(10)&amp;"................................."&amp;CHAR(10)&amp;IF(F116&gt;0,"Alfajor Maicena x7: "&amp;F116&amp;" pack. x $"&amp;TEXT($T116,"#,##0")&amp;" = $"&amp;TEXT(F116*$T116,"#,##0")&amp;CHAR(10),"")&amp;IF(G116&gt;0,"Alfajor Frutal x7: "&amp;G116&amp;" pack. x $"&amp;TEXT($T116,"#,##0")&amp;" = $"&amp;TEXT(G116*$T116,"#,##0")&amp;CHAR(10),"")&amp;IF(H116&gt;0,"Alfajor Santafesino x7: "&amp;H116&amp;" pack. x $"&amp;TEXT($T116,"#,##0")&amp;" = $"&amp;TEXT(H116*$T116,"#,##0")&amp;CHAR(10),"")&amp;IF(I116&gt;0,"Alfajor Maicena x14: "&amp;I116&amp;" pack. x $"&amp;TEXT($U116,"#,##0")&amp;" = $"&amp;TEXT(I116*$U116,"#,##0")&amp;CHAR(10),"")&amp;IF(J116&gt;0,"Pepas DDL: "&amp;J116&amp;" band. x $"&amp;TEXT($V116,"#,##0")&amp;" = $"&amp;TEXT(J116*$V116,"#,##0")&amp;CHAR(10),"")&amp;IF(K116&gt;0,"Pepas Membrillo: "&amp;K116&amp;" band. x $"&amp;TEXT($V116,"#,##0")&amp;" = $"&amp;TEXT(K116*$V116,"#,##0")&amp;CHAR(10),"")&amp;IF(L116&gt;0,"Pepas Arándano: "&amp;L116&amp;" band. x $"&amp;TEXT($V116,"#,##0")&amp;" = $"&amp;TEXT(L116*$V116,"#,##0")&amp;CHAR(10),"")&amp;IF(M116&gt;0,"Pepas Batata: "&amp;M116&amp;" band. x $"&amp;TEXT($V116,"#,##0")&amp;" = $"&amp;TEXT(M116*$V116,"#,##0")&amp;CHAR(10),"")&amp;IF(N116&gt;0,"Pepas Frutos del Bosque: "&amp;N116&amp;" band. x $"&amp;TEXT($V116,"#,##0")&amp;" = $"&amp;TEXT(N116*$V116,"#,##0")&amp;CHAR(10),"")&amp;"................................."&amp;CHAR(10)&amp;"*TOTAL: $"&amp;TEXT(P116,"#,##0")&amp;"*"&amp;CHAR(10)&amp;CHAR(10)&amp;"¡Gracias por tu pedido! 🙏")</f>
        <v/>
      </c>
      <c r="T116" s="78">
        <f>IF(C116="",Config!$B$5,IF(C116&gt;=Config!$B$2,Config!$C$5,Config!$B$5))</f>
        <v/>
      </c>
      <c r="U116" s="78">
        <f>IF(C116="",Config!$B$8,IF(C116&gt;=Config!$B$2,Config!$C$8,Config!$B$8))</f>
        <v/>
      </c>
      <c r="V116" s="78">
        <f>IF(C116="",Config!$B$9,IF(C116&gt;=Config!$B$2,Config!$C$9,Config!$B$9))</f>
        <v/>
      </c>
    </row>
    <row r="117" ht="60" customHeight="1" s="55">
      <c r="A117" s="72">
        <f>IF(D117="","",ROW()-4)</f>
        <v/>
      </c>
      <c r="B117" s="73" t="n"/>
      <c r="C117" s="73" t="n"/>
      <c r="D117" s="74" t="n"/>
      <c r="E117" s="74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2">
        <f>IF(D117="","",SUM(F117:N117))</f>
        <v/>
      </c>
      <c r="P117" s="76">
        <f>IF(D117="","",(F117+G117+H117)*T117+I117*U117+(J117+K117+L117+M117+N117)*V117)</f>
        <v/>
      </c>
      <c r="Q117" s="74" t="n"/>
      <c r="R117" s="77">
        <f>IF(OR(D117="",O117=0),"","🥮 *NUESTRO ALFAJOR*"&amp;CHAR(10)&amp;"Remito N° "&amp;A117&amp;CHAR(10)&amp;"Fecha entrega: "&amp;TEXT(C117,"DD/MM/YYYY")&amp;CHAR(10)&amp;"Cliente: "&amp;D117&amp;IF(E117&lt;&gt;"",", "&amp;E117,"")&amp;CHAR(10)&amp;"................................."&amp;CHAR(10)&amp;IF(F117&gt;0,"Alfajor Maicena x7: "&amp;F117&amp;" pack. x $"&amp;TEXT($T117,"#,##0")&amp;" = $"&amp;TEXT(F117*$T117,"#,##0")&amp;CHAR(10),"")&amp;IF(G117&gt;0,"Alfajor Frutal x7: "&amp;G117&amp;" pack. x $"&amp;TEXT($T117,"#,##0")&amp;" = $"&amp;TEXT(G117*$T117,"#,##0")&amp;CHAR(10),"")&amp;IF(H117&gt;0,"Alfajor Santafesino x7: "&amp;H117&amp;" pack. x $"&amp;TEXT($T117,"#,##0")&amp;" = $"&amp;TEXT(H117*$T117,"#,##0")&amp;CHAR(10),"")&amp;IF(I117&gt;0,"Alfajor Maicena x14: "&amp;I117&amp;" pack. x $"&amp;TEXT($U117,"#,##0")&amp;" = $"&amp;TEXT(I117*$U117,"#,##0")&amp;CHAR(10),"")&amp;IF(J117&gt;0,"Pepas DDL: "&amp;J117&amp;" band. x $"&amp;TEXT($V117,"#,##0")&amp;" = $"&amp;TEXT(J117*$V117,"#,##0")&amp;CHAR(10),"")&amp;IF(K117&gt;0,"Pepas Membrillo: "&amp;K117&amp;" band. x $"&amp;TEXT($V117,"#,##0")&amp;" = $"&amp;TEXT(K117*$V117,"#,##0")&amp;CHAR(10),"")&amp;IF(L117&gt;0,"Pepas Arándano: "&amp;L117&amp;" band. x $"&amp;TEXT($V117,"#,##0")&amp;" = $"&amp;TEXT(L117*$V117,"#,##0")&amp;CHAR(10),"")&amp;IF(M117&gt;0,"Pepas Batata: "&amp;M117&amp;" band. x $"&amp;TEXT($V117,"#,##0")&amp;" = $"&amp;TEXT(M117*$V117,"#,##0")&amp;CHAR(10),"")&amp;IF(N117&gt;0,"Pepas Frutos del Bosque: "&amp;N117&amp;" band. x $"&amp;TEXT($V117,"#,##0")&amp;" = $"&amp;TEXT(N117*$V117,"#,##0")&amp;CHAR(10),"")&amp;"................................."&amp;CHAR(10)&amp;"*TOTAL: $"&amp;TEXT(P117,"#,##0")&amp;"*"&amp;CHAR(10)&amp;CHAR(10)&amp;"¡Gracias por tu pedido! 🙏")</f>
        <v/>
      </c>
      <c r="T117" s="78">
        <f>IF(C117="",Config!$B$5,IF(C117&gt;=Config!$B$2,Config!$C$5,Config!$B$5))</f>
        <v/>
      </c>
      <c r="U117" s="78">
        <f>IF(C117="",Config!$B$8,IF(C117&gt;=Config!$B$2,Config!$C$8,Config!$B$8))</f>
        <v/>
      </c>
      <c r="V117" s="78">
        <f>IF(C117="",Config!$B$9,IF(C117&gt;=Config!$B$2,Config!$C$9,Config!$B$9))</f>
        <v/>
      </c>
    </row>
    <row r="118" ht="60" customHeight="1" s="55">
      <c r="A118" s="72">
        <f>IF(D118="","",ROW()-4)</f>
        <v/>
      </c>
      <c r="B118" s="73" t="n"/>
      <c r="C118" s="73" t="n"/>
      <c r="D118" s="74" t="n"/>
      <c r="E118" s="74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2">
        <f>IF(D118="","",SUM(F118:N118))</f>
        <v/>
      </c>
      <c r="P118" s="76">
        <f>IF(D118="","",(F118+G118+H118)*T118+I118*U118+(J118+K118+L118+M118+N118)*V118)</f>
        <v/>
      </c>
      <c r="Q118" s="74" t="n"/>
      <c r="R118" s="77">
        <f>IF(OR(D118="",O118=0),"","🥮 *NUESTRO ALFAJOR*"&amp;CHAR(10)&amp;"Remito N° "&amp;A118&amp;CHAR(10)&amp;"Fecha entrega: "&amp;TEXT(C118,"DD/MM/YYYY")&amp;CHAR(10)&amp;"Cliente: "&amp;D118&amp;IF(E118&lt;&gt;"",", "&amp;E118,"")&amp;CHAR(10)&amp;"................................."&amp;CHAR(10)&amp;IF(F118&gt;0,"Alfajor Maicena x7: "&amp;F118&amp;" pack. x $"&amp;TEXT($T118,"#,##0")&amp;" = $"&amp;TEXT(F118*$T118,"#,##0")&amp;CHAR(10),"")&amp;IF(G118&gt;0,"Alfajor Frutal x7: "&amp;G118&amp;" pack. x $"&amp;TEXT($T118,"#,##0")&amp;" = $"&amp;TEXT(G118*$T118,"#,##0")&amp;CHAR(10),"")&amp;IF(H118&gt;0,"Alfajor Santafesino x7: "&amp;H118&amp;" pack. x $"&amp;TEXT($T118,"#,##0")&amp;" = $"&amp;TEXT(H118*$T118,"#,##0")&amp;CHAR(10),"")&amp;IF(I118&gt;0,"Alfajor Maicena x14: "&amp;I118&amp;" pack. x $"&amp;TEXT($U118,"#,##0")&amp;" = $"&amp;TEXT(I118*$U118,"#,##0")&amp;CHAR(10),"")&amp;IF(J118&gt;0,"Pepas DDL: "&amp;J118&amp;" band. x $"&amp;TEXT($V118,"#,##0")&amp;" = $"&amp;TEXT(J118*$V118,"#,##0")&amp;CHAR(10),"")&amp;IF(K118&gt;0,"Pepas Membrillo: "&amp;K118&amp;" band. x $"&amp;TEXT($V118,"#,##0")&amp;" = $"&amp;TEXT(K118*$V118,"#,##0")&amp;CHAR(10),"")&amp;IF(L118&gt;0,"Pepas Arándano: "&amp;L118&amp;" band. x $"&amp;TEXT($V118,"#,##0")&amp;" = $"&amp;TEXT(L118*$V118,"#,##0")&amp;CHAR(10),"")&amp;IF(M118&gt;0,"Pepas Batata: "&amp;M118&amp;" band. x $"&amp;TEXT($V118,"#,##0")&amp;" = $"&amp;TEXT(M118*$V118,"#,##0")&amp;CHAR(10),"")&amp;IF(N118&gt;0,"Pepas Frutos del Bosque: "&amp;N118&amp;" band. x $"&amp;TEXT($V118,"#,##0")&amp;" = $"&amp;TEXT(N118*$V118,"#,##0")&amp;CHAR(10),"")&amp;"................................."&amp;CHAR(10)&amp;"*TOTAL: $"&amp;TEXT(P118,"#,##0")&amp;"*"&amp;CHAR(10)&amp;CHAR(10)&amp;"¡Gracias por tu pedido! 🙏")</f>
        <v/>
      </c>
      <c r="T118" s="78">
        <f>IF(C118="",Config!$B$5,IF(C118&gt;=Config!$B$2,Config!$C$5,Config!$B$5))</f>
        <v/>
      </c>
      <c r="U118" s="78">
        <f>IF(C118="",Config!$B$8,IF(C118&gt;=Config!$B$2,Config!$C$8,Config!$B$8))</f>
        <v/>
      </c>
      <c r="V118" s="78">
        <f>IF(C118="",Config!$B$9,IF(C118&gt;=Config!$B$2,Config!$C$9,Config!$B$9))</f>
        <v/>
      </c>
    </row>
    <row r="119" ht="60" customHeight="1" s="55">
      <c r="A119" s="72">
        <f>IF(D119="","",ROW()-4)</f>
        <v/>
      </c>
      <c r="B119" s="73" t="n"/>
      <c r="C119" s="73" t="n"/>
      <c r="D119" s="74" t="n"/>
      <c r="E119" s="74" t="n"/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2">
        <f>IF(D119="","",SUM(F119:N119))</f>
        <v/>
      </c>
      <c r="P119" s="76">
        <f>IF(D119="","",(F119+G119+H119)*T119+I119*U119+(J119+K119+L119+M119+N119)*V119)</f>
        <v/>
      </c>
      <c r="Q119" s="74" t="n"/>
      <c r="R119" s="77">
        <f>IF(OR(D119="",O119=0),"","🥮 *NUESTRO ALFAJOR*"&amp;CHAR(10)&amp;"Remito N° "&amp;A119&amp;CHAR(10)&amp;"Fecha entrega: "&amp;TEXT(C119,"DD/MM/YYYY")&amp;CHAR(10)&amp;"Cliente: "&amp;D119&amp;IF(E119&lt;&gt;"",", "&amp;E119,"")&amp;CHAR(10)&amp;"................................."&amp;CHAR(10)&amp;IF(F119&gt;0,"Alfajor Maicena x7: "&amp;F119&amp;" pack. x $"&amp;TEXT($T119,"#,##0")&amp;" = $"&amp;TEXT(F119*$T119,"#,##0")&amp;CHAR(10),"")&amp;IF(G119&gt;0,"Alfajor Frutal x7: "&amp;G119&amp;" pack. x $"&amp;TEXT($T119,"#,##0")&amp;" = $"&amp;TEXT(G119*$T119,"#,##0")&amp;CHAR(10),"")&amp;IF(H119&gt;0,"Alfajor Santafesino x7: "&amp;H119&amp;" pack. x $"&amp;TEXT($T119,"#,##0")&amp;" = $"&amp;TEXT(H119*$T119,"#,##0")&amp;CHAR(10),"")&amp;IF(I119&gt;0,"Alfajor Maicena x14: "&amp;I119&amp;" pack. x $"&amp;TEXT($U119,"#,##0")&amp;" = $"&amp;TEXT(I119*$U119,"#,##0")&amp;CHAR(10),"")&amp;IF(J119&gt;0,"Pepas DDL: "&amp;J119&amp;" band. x $"&amp;TEXT($V119,"#,##0")&amp;" = $"&amp;TEXT(J119*$V119,"#,##0")&amp;CHAR(10),"")&amp;IF(K119&gt;0,"Pepas Membrillo: "&amp;K119&amp;" band. x $"&amp;TEXT($V119,"#,##0")&amp;" = $"&amp;TEXT(K119*$V119,"#,##0")&amp;CHAR(10),"")&amp;IF(L119&gt;0,"Pepas Arándano: "&amp;L119&amp;" band. x $"&amp;TEXT($V119,"#,##0")&amp;" = $"&amp;TEXT(L119*$V119,"#,##0")&amp;CHAR(10),"")&amp;IF(M119&gt;0,"Pepas Batata: "&amp;M119&amp;" band. x $"&amp;TEXT($V119,"#,##0")&amp;" = $"&amp;TEXT(M119*$V119,"#,##0")&amp;CHAR(10),"")&amp;IF(N119&gt;0,"Pepas Frutos del Bosque: "&amp;N119&amp;" band. x $"&amp;TEXT($V119,"#,##0")&amp;" = $"&amp;TEXT(N119*$V119,"#,##0")&amp;CHAR(10),"")&amp;"................................."&amp;CHAR(10)&amp;"*TOTAL: $"&amp;TEXT(P119,"#,##0")&amp;"*"&amp;CHAR(10)&amp;CHAR(10)&amp;"¡Gracias por tu pedido! 🙏")</f>
        <v/>
      </c>
      <c r="T119" s="78">
        <f>IF(C119="",Config!$B$5,IF(C119&gt;=Config!$B$2,Config!$C$5,Config!$B$5))</f>
        <v/>
      </c>
      <c r="U119" s="78">
        <f>IF(C119="",Config!$B$8,IF(C119&gt;=Config!$B$2,Config!$C$8,Config!$B$8))</f>
        <v/>
      </c>
      <c r="V119" s="78">
        <f>IF(C119="",Config!$B$9,IF(C119&gt;=Config!$B$2,Config!$C$9,Config!$B$9))</f>
        <v/>
      </c>
    </row>
    <row r="120" ht="60" customHeight="1" s="55">
      <c r="A120" s="72">
        <f>IF(D120="","",ROW()-4)</f>
        <v/>
      </c>
      <c r="B120" s="73" t="n"/>
      <c r="C120" s="73" t="n"/>
      <c r="D120" s="74" t="n"/>
      <c r="E120" s="74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2">
        <f>IF(D120="","",SUM(F120:N120))</f>
        <v/>
      </c>
      <c r="P120" s="76">
        <f>IF(D120="","",(F120+G120+H120)*T120+I120*U120+(J120+K120+L120+M120+N120)*V120)</f>
        <v/>
      </c>
      <c r="Q120" s="74" t="n"/>
      <c r="R120" s="77">
        <f>IF(OR(D120="",O120=0),"","🥮 *NUESTRO ALFAJOR*"&amp;CHAR(10)&amp;"Remito N° "&amp;A120&amp;CHAR(10)&amp;"Fecha entrega: "&amp;TEXT(C120,"DD/MM/YYYY")&amp;CHAR(10)&amp;"Cliente: "&amp;D120&amp;IF(E120&lt;&gt;"",", "&amp;E120,"")&amp;CHAR(10)&amp;"................................."&amp;CHAR(10)&amp;IF(F120&gt;0,"Alfajor Maicena x7: "&amp;F120&amp;" pack. x $"&amp;TEXT($T120,"#,##0")&amp;" = $"&amp;TEXT(F120*$T120,"#,##0")&amp;CHAR(10),"")&amp;IF(G120&gt;0,"Alfajor Frutal x7: "&amp;G120&amp;" pack. x $"&amp;TEXT($T120,"#,##0")&amp;" = $"&amp;TEXT(G120*$T120,"#,##0")&amp;CHAR(10),"")&amp;IF(H120&gt;0,"Alfajor Santafesino x7: "&amp;H120&amp;" pack. x $"&amp;TEXT($T120,"#,##0")&amp;" = $"&amp;TEXT(H120*$T120,"#,##0")&amp;CHAR(10),"")&amp;IF(I120&gt;0,"Alfajor Maicena x14: "&amp;I120&amp;" pack. x $"&amp;TEXT($U120,"#,##0")&amp;" = $"&amp;TEXT(I120*$U120,"#,##0")&amp;CHAR(10),"")&amp;IF(J120&gt;0,"Pepas DDL: "&amp;J120&amp;" band. x $"&amp;TEXT($V120,"#,##0")&amp;" = $"&amp;TEXT(J120*$V120,"#,##0")&amp;CHAR(10),"")&amp;IF(K120&gt;0,"Pepas Membrillo: "&amp;K120&amp;" band. x $"&amp;TEXT($V120,"#,##0")&amp;" = $"&amp;TEXT(K120*$V120,"#,##0")&amp;CHAR(10),"")&amp;IF(L120&gt;0,"Pepas Arándano: "&amp;L120&amp;" band. x $"&amp;TEXT($V120,"#,##0")&amp;" = $"&amp;TEXT(L120*$V120,"#,##0")&amp;CHAR(10),"")&amp;IF(M120&gt;0,"Pepas Batata: "&amp;M120&amp;" band. x $"&amp;TEXT($V120,"#,##0")&amp;" = $"&amp;TEXT(M120*$V120,"#,##0")&amp;CHAR(10),"")&amp;IF(N120&gt;0,"Pepas Frutos del Bosque: "&amp;N120&amp;" band. x $"&amp;TEXT($V120,"#,##0")&amp;" = $"&amp;TEXT(N120*$V120,"#,##0")&amp;CHAR(10),"")&amp;"................................."&amp;CHAR(10)&amp;"*TOTAL: $"&amp;TEXT(P120,"#,##0")&amp;"*"&amp;CHAR(10)&amp;CHAR(10)&amp;"¡Gracias por tu pedido! 🙏")</f>
        <v/>
      </c>
      <c r="T120" s="78">
        <f>IF(C120="",Config!$B$5,IF(C120&gt;=Config!$B$2,Config!$C$5,Config!$B$5))</f>
        <v/>
      </c>
      <c r="U120" s="78">
        <f>IF(C120="",Config!$B$8,IF(C120&gt;=Config!$B$2,Config!$C$8,Config!$B$8))</f>
        <v/>
      </c>
      <c r="V120" s="78">
        <f>IF(C120="",Config!$B$9,IF(C120&gt;=Config!$B$2,Config!$C$9,Config!$B$9))</f>
        <v/>
      </c>
    </row>
    <row r="121" ht="60" customHeight="1" s="55">
      <c r="A121" s="72">
        <f>IF(D121="","",ROW()-4)</f>
        <v/>
      </c>
      <c r="B121" s="73" t="n"/>
      <c r="C121" s="73" t="n"/>
      <c r="D121" s="74" t="n"/>
      <c r="E121" s="74" t="n"/>
      <c r="F121" s="75" t="n"/>
      <c r="G121" s="75" t="n"/>
      <c r="H121" s="75" t="n"/>
      <c r="I121" s="75" t="n"/>
      <c r="J121" s="75" t="n"/>
      <c r="K121" s="75" t="n"/>
      <c r="L121" s="75" t="n"/>
      <c r="M121" s="75" t="n"/>
      <c r="N121" s="75" t="n"/>
      <c r="O121" s="72">
        <f>IF(D121="","",SUM(F121:N121))</f>
        <v/>
      </c>
      <c r="P121" s="76">
        <f>IF(D121="","",(F121+G121+H121)*T121+I121*U121+(J121+K121+L121+M121+N121)*V121)</f>
        <v/>
      </c>
      <c r="Q121" s="74" t="n"/>
      <c r="R121" s="77">
        <f>IF(OR(D121="",O121=0),"","🥮 *NUESTRO ALFAJOR*"&amp;CHAR(10)&amp;"Remito N° "&amp;A121&amp;CHAR(10)&amp;"Fecha entrega: "&amp;TEXT(C121,"DD/MM/YYYY")&amp;CHAR(10)&amp;"Cliente: "&amp;D121&amp;IF(E121&lt;&gt;"",", "&amp;E121,"")&amp;CHAR(10)&amp;"................................."&amp;CHAR(10)&amp;IF(F121&gt;0,"Alfajor Maicena x7: "&amp;F121&amp;" pack. x $"&amp;TEXT($T121,"#,##0")&amp;" = $"&amp;TEXT(F121*$T121,"#,##0")&amp;CHAR(10),"")&amp;IF(G121&gt;0,"Alfajor Frutal x7: "&amp;G121&amp;" pack. x $"&amp;TEXT($T121,"#,##0")&amp;" = $"&amp;TEXT(G121*$T121,"#,##0")&amp;CHAR(10),"")&amp;IF(H121&gt;0,"Alfajor Santafesino x7: "&amp;H121&amp;" pack. x $"&amp;TEXT($T121,"#,##0")&amp;" = $"&amp;TEXT(H121*$T121,"#,##0")&amp;CHAR(10),"")&amp;IF(I121&gt;0,"Alfajor Maicena x14: "&amp;I121&amp;" pack. x $"&amp;TEXT($U121,"#,##0")&amp;" = $"&amp;TEXT(I121*$U121,"#,##0")&amp;CHAR(10),"")&amp;IF(J121&gt;0,"Pepas DDL: "&amp;J121&amp;" band. x $"&amp;TEXT($V121,"#,##0")&amp;" = $"&amp;TEXT(J121*$V121,"#,##0")&amp;CHAR(10),"")&amp;IF(K121&gt;0,"Pepas Membrillo: "&amp;K121&amp;" band. x $"&amp;TEXT($V121,"#,##0")&amp;" = $"&amp;TEXT(K121*$V121,"#,##0")&amp;CHAR(10),"")&amp;IF(L121&gt;0,"Pepas Arándano: "&amp;L121&amp;" band. x $"&amp;TEXT($V121,"#,##0")&amp;" = $"&amp;TEXT(L121*$V121,"#,##0")&amp;CHAR(10),"")&amp;IF(M121&gt;0,"Pepas Batata: "&amp;M121&amp;" band. x $"&amp;TEXT($V121,"#,##0")&amp;" = $"&amp;TEXT(M121*$V121,"#,##0")&amp;CHAR(10),"")&amp;IF(N121&gt;0,"Pepas Frutos del Bosque: "&amp;N121&amp;" band. x $"&amp;TEXT($V121,"#,##0")&amp;" = $"&amp;TEXT(N121*$V121,"#,##0")&amp;CHAR(10),"")&amp;"................................."&amp;CHAR(10)&amp;"*TOTAL: $"&amp;TEXT(P121,"#,##0")&amp;"*"&amp;CHAR(10)&amp;CHAR(10)&amp;"¡Gracias por tu pedido! 🙏")</f>
        <v/>
      </c>
      <c r="T121" s="78">
        <f>IF(C121="",Config!$B$5,IF(C121&gt;=Config!$B$2,Config!$C$5,Config!$B$5))</f>
        <v/>
      </c>
      <c r="U121" s="78">
        <f>IF(C121="",Config!$B$8,IF(C121&gt;=Config!$B$2,Config!$C$8,Config!$B$8))</f>
        <v/>
      </c>
      <c r="V121" s="78">
        <f>IF(C121="",Config!$B$9,IF(C121&gt;=Config!$B$2,Config!$C$9,Config!$B$9))</f>
        <v/>
      </c>
    </row>
    <row r="122" ht="60" customHeight="1" s="55">
      <c r="A122" s="72">
        <f>IF(D122="","",ROW()-4)</f>
        <v/>
      </c>
      <c r="B122" s="73" t="n"/>
      <c r="C122" s="73" t="n"/>
      <c r="D122" s="74" t="n"/>
      <c r="E122" s="74" t="n"/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2">
        <f>IF(D122="","",SUM(F122:N122))</f>
        <v/>
      </c>
      <c r="P122" s="76">
        <f>IF(D122="","",(F122+G122+H122)*T122+I122*U122+(J122+K122+L122+M122+N122)*V122)</f>
        <v/>
      </c>
      <c r="Q122" s="74" t="n"/>
      <c r="R122" s="77">
        <f>IF(OR(D122="",O122=0),"","🥮 *NUESTRO ALFAJOR*"&amp;CHAR(10)&amp;"Remito N° "&amp;A122&amp;CHAR(10)&amp;"Fecha entrega: "&amp;TEXT(C122,"DD/MM/YYYY")&amp;CHAR(10)&amp;"Cliente: "&amp;D122&amp;IF(E122&lt;&gt;"",", "&amp;E122,"")&amp;CHAR(10)&amp;"................................."&amp;CHAR(10)&amp;IF(F122&gt;0,"Alfajor Maicena x7: "&amp;F122&amp;" pack. x $"&amp;TEXT($T122,"#,##0")&amp;" = $"&amp;TEXT(F122*$T122,"#,##0")&amp;CHAR(10),"")&amp;IF(G122&gt;0,"Alfajor Frutal x7: "&amp;G122&amp;" pack. x $"&amp;TEXT($T122,"#,##0")&amp;" = $"&amp;TEXT(G122*$T122,"#,##0")&amp;CHAR(10),"")&amp;IF(H122&gt;0,"Alfajor Santafesino x7: "&amp;H122&amp;" pack. x $"&amp;TEXT($T122,"#,##0")&amp;" = $"&amp;TEXT(H122*$T122,"#,##0")&amp;CHAR(10),"")&amp;IF(I122&gt;0,"Alfajor Maicena x14: "&amp;I122&amp;" pack. x $"&amp;TEXT($U122,"#,##0")&amp;" = $"&amp;TEXT(I122*$U122,"#,##0")&amp;CHAR(10),"")&amp;IF(J122&gt;0,"Pepas DDL: "&amp;J122&amp;" band. x $"&amp;TEXT($V122,"#,##0")&amp;" = $"&amp;TEXT(J122*$V122,"#,##0")&amp;CHAR(10),"")&amp;IF(K122&gt;0,"Pepas Membrillo: "&amp;K122&amp;" band. x $"&amp;TEXT($V122,"#,##0")&amp;" = $"&amp;TEXT(K122*$V122,"#,##0")&amp;CHAR(10),"")&amp;IF(L122&gt;0,"Pepas Arándano: "&amp;L122&amp;" band. x $"&amp;TEXT($V122,"#,##0")&amp;" = $"&amp;TEXT(L122*$V122,"#,##0")&amp;CHAR(10),"")&amp;IF(M122&gt;0,"Pepas Batata: "&amp;M122&amp;" band. x $"&amp;TEXT($V122,"#,##0")&amp;" = $"&amp;TEXT(M122*$V122,"#,##0")&amp;CHAR(10),"")&amp;IF(N122&gt;0,"Pepas Frutos del Bosque: "&amp;N122&amp;" band. x $"&amp;TEXT($V122,"#,##0")&amp;" = $"&amp;TEXT(N122*$V122,"#,##0")&amp;CHAR(10),"")&amp;"................................."&amp;CHAR(10)&amp;"*TOTAL: $"&amp;TEXT(P122,"#,##0")&amp;"*"&amp;CHAR(10)&amp;CHAR(10)&amp;"¡Gracias por tu pedido! 🙏")</f>
        <v/>
      </c>
      <c r="T122" s="78">
        <f>IF(C122="",Config!$B$5,IF(C122&gt;=Config!$B$2,Config!$C$5,Config!$B$5))</f>
        <v/>
      </c>
      <c r="U122" s="78">
        <f>IF(C122="",Config!$B$8,IF(C122&gt;=Config!$B$2,Config!$C$8,Config!$B$8))</f>
        <v/>
      </c>
      <c r="V122" s="78">
        <f>IF(C122="",Config!$B$9,IF(C122&gt;=Config!$B$2,Config!$C$9,Config!$B$9))</f>
        <v/>
      </c>
    </row>
    <row r="123" ht="60" customHeight="1" s="55">
      <c r="A123" s="72">
        <f>IF(D123="","",ROW()-4)</f>
        <v/>
      </c>
      <c r="B123" s="73" t="n"/>
      <c r="C123" s="73" t="n"/>
      <c r="D123" s="74" t="n"/>
      <c r="E123" s="74" t="n"/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2">
        <f>IF(D123="","",SUM(F123:N123))</f>
        <v/>
      </c>
      <c r="P123" s="76">
        <f>IF(D123="","",(F123+G123+H123)*T123+I123*U123+(J123+K123+L123+M123+N123)*V123)</f>
        <v/>
      </c>
      <c r="Q123" s="74" t="n"/>
      <c r="R123" s="77">
        <f>IF(OR(D123="",O123=0),"","🥮 *NUESTRO ALFAJOR*"&amp;CHAR(10)&amp;"Remito N° "&amp;A123&amp;CHAR(10)&amp;"Fecha entrega: "&amp;TEXT(C123,"DD/MM/YYYY")&amp;CHAR(10)&amp;"Cliente: "&amp;D123&amp;IF(E123&lt;&gt;"",", "&amp;E123,"")&amp;CHAR(10)&amp;"................................."&amp;CHAR(10)&amp;IF(F123&gt;0,"Alfajor Maicena x7: "&amp;F123&amp;" pack. x $"&amp;TEXT($T123,"#,##0")&amp;" = $"&amp;TEXT(F123*$T123,"#,##0")&amp;CHAR(10),"")&amp;IF(G123&gt;0,"Alfajor Frutal x7: "&amp;G123&amp;" pack. x $"&amp;TEXT($T123,"#,##0")&amp;" = $"&amp;TEXT(G123*$T123,"#,##0")&amp;CHAR(10),"")&amp;IF(H123&gt;0,"Alfajor Santafesino x7: "&amp;H123&amp;" pack. x $"&amp;TEXT($T123,"#,##0")&amp;" = $"&amp;TEXT(H123*$T123,"#,##0")&amp;CHAR(10),"")&amp;IF(I123&gt;0,"Alfajor Maicena x14: "&amp;I123&amp;" pack. x $"&amp;TEXT($U123,"#,##0")&amp;" = $"&amp;TEXT(I123*$U123,"#,##0")&amp;CHAR(10),"")&amp;IF(J123&gt;0,"Pepas DDL: "&amp;J123&amp;" band. x $"&amp;TEXT($V123,"#,##0")&amp;" = $"&amp;TEXT(J123*$V123,"#,##0")&amp;CHAR(10),"")&amp;IF(K123&gt;0,"Pepas Membrillo: "&amp;K123&amp;" band. x $"&amp;TEXT($V123,"#,##0")&amp;" = $"&amp;TEXT(K123*$V123,"#,##0")&amp;CHAR(10),"")&amp;IF(L123&gt;0,"Pepas Arándano: "&amp;L123&amp;" band. x $"&amp;TEXT($V123,"#,##0")&amp;" = $"&amp;TEXT(L123*$V123,"#,##0")&amp;CHAR(10),"")&amp;IF(M123&gt;0,"Pepas Batata: "&amp;M123&amp;" band. x $"&amp;TEXT($V123,"#,##0")&amp;" = $"&amp;TEXT(M123*$V123,"#,##0")&amp;CHAR(10),"")&amp;IF(N123&gt;0,"Pepas Frutos del Bosque: "&amp;N123&amp;" band. x $"&amp;TEXT($V123,"#,##0")&amp;" = $"&amp;TEXT(N123*$V123,"#,##0")&amp;CHAR(10),"")&amp;"................................."&amp;CHAR(10)&amp;"*TOTAL: $"&amp;TEXT(P123,"#,##0")&amp;"*"&amp;CHAR(10)&amp;CHAR(10)&amp;"¡Gracias por tu pedido! 🙏")</f>
        <v/>
      </c>
      <c r="T123" s="78">
        <f>IF(C123="",Config!$B$5,IF(C123&gt;=Config!$B$2,Config!$C$5,Config!$B$5))</f>
        <v/>
      </c>
      <c r="U123" s="78">
        <f>IF(C123="",Config!$B$8,IF(C123&gt;=Config!$B$2,Config!$C$8,Config!$B$8))</f>
        <v/>
      </c>
      <c r="V123" s="78">
        <f>IF(C123="",Config!$B$9,IF(C123&gt;=Config!$B$2,Config!$C$9,Config!$B$9))</f>
        <v/>
      </c>
    </row>
    <row r="124" ht="60" customHeight="1" s="55">
      <c r="A124" s="72">
        <f>IF(D124="","",ROW()-4)</f>
        <v/>
      </c>
      <c r="B124" s="73" t="n"/>
      <c r="C124" s="73" t="n"/>
      <c r="D124" s="74" t="n"/>
      <c r="E124" s="74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2">
        <f>IF(D124="","",SUM(F124:N124))</f>
        <v/>
      </c>
      <c r="P124" s="76">
        <f>IF(D124="","",(F124+G124+H124)*T124+I124*U124+(J124+K124+L124+M124+N124)*V124)</f>
        <v/>
      </c>
      <c r="Q124" s="74" t="n"/>
      <c r="R124" s="77">
        <f>IF(OR(D124="",O124=0),"","🥮 *NUESTRO ALFAJOR*"&amp;CHAR(10)&amp;"Remito N° "&amp;A124&amp;CHAR(10)&amp;"Fecha entrega: "&amp;TEXT(C124,"DD/MM/YYYY")&amp;CHAR(10)&amp;"Cliente: "&amp;D124&amp;IF(E124&lt;&gt;"",", "&amp;E124,"")&amp;CHAR(10)&amp;"................................."&amp;CHAR(10)&amp;IF(F124&gt;0,"Alfajor Maicena x7: "&amp;F124&amp;" pack. x $"&amp;TEXT($T124,"#,##0")&amp;" = $"&amp;TEXT(F124*$T124,"#,##0")&amp;CHAR(10),"")&amp;IF(G124&gt;0,"Alfajor Frutal x7: "&amp;G124&amp;" pack. x $"&amp;TEXT($T124,"#,##0")&amp;" = $"&amp;TEXT(G124*$T124,"#,##0")&amp;CHAR(10),"")&amp;IF(H124&gt;0,"Alfajor Santafesino x7: "&amp;H124&amp;" pack. x $"&amp;TEXT($T124,"#,##0")&amp;" = $"&amp;TEXT(H124*$T124,"#,##0")&amp;CHAR(10),"")&amp;IF(I124&gt;0,"Alfajor Maicena x14: "&amp;I124&amp;" pack. x $"&amp;TEXT($U124,"#,##0")&amp;" = $"&amp;TEXT(I124*$U124,"#,##0")&amp;CHAR(10),"")&amp;IF(J124&gt;0,"Pepas DDL: "&amp;J124&amp;" band. x $"&amp;TEXT($V124,"#,##0")&amp;" = $"&amp;TEXT(J124*$V124,"#,##0")&amp;CHAR(10),"")&amp;IF(K124&gt;0,"Pepas Membrillo: "&amp;K124&amp;" band. x $"&amp;TEXT($V124,"#,##0")&amp;" = $"&amp;TEXT(K124*$V124,"#,##0")&amp;CHAR(10),"")&amp;IF(L124&gt;0,"Pepas Arándano: "&amp;L124&amp;" band. x $"&amp;TEXT($V124,"#,##0")&amp;" = $"&amp;TEXT(L124*$V124,"#,##0")&amp;CHAR(10),"")&amp;IF(M124&gt;0,"Pepas Batata: "&amp;M124&amp;" band. x $"&amp;TEXT($V124,"#,##0")&amp;" = $"&amp;TEXT(M124*$V124,"#,##0")&amp;CHAR(10),"")&amp;IF(N124&gt;0,"Pepas Frutos del Bosque: "&amp;N124&amp;" band. x $"&amp;TEXT($V124,"#,##0")&amp;" = $"&amp;TEXT(N124*$V124,"#,##0")&amp;CHAR(10),"")&amp;"................................."&amp;CHAR(10)&amp;"*TOTAL: $"&amp;TEXT(P124,"#,##0")&amp;"*"&amp;CHAR(10)&amp;CHAR(10)&amp;"¡Gracias por tu pedido! 🙏")</f>
        <v/>
      </c>
      <c r="T124" s="78">
        <f>IF(C124="",Config!$B$5,IF(C124&gt;=Config!$B$2,Config!$C$5,Config!$B$5))</f>
        <v/>
      </c>
      <c r="U124" s="78">
        <f>IF(C124="",Config!$B$8,IF(C124&gt;=Config!$B$2,Config!$C$8,Config!$B$8))</f>
        <v/>
      </c>
      <c r="V124" s="78">
        <f>IF(C124="",Config!$B$9,IF(C124&gt;=Config!$B$2,Config!$C$9,Config!$B$9))</f>
        <v/>
      </c>
    </row>
    <row r="125" ht="60" customHeight="1" s="55">
      <c r="A125" s="72">
        <f>IF(D125="","",ROW()-4)</f>
        <v/>
      </c>
      <c r="B125" s="73" t="n"/>
      <c r="C125" s="73" t="n"/>
      <c r="D125" s="74" t="n"/>
      <c r="E125" s="74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2">
        <f>IF(D125="","",SUM(F125:N125))</f>
        <v/>
      </c>
      <c r="P125" s="76">
        <f>IF(D125="","",(F125+G125+H125)*T125+I125*U125+(J125+K125+L125+M125+N125)*V125)</f>
        <v/>
      </c>
      <c r="Q125" s="74" t="n"/>
      <c r="R125" s="77">
        <f>IF(OR(D125="",O125=0),"","🥮 *NUESTRO ALFAJOR*"&amp;CHAR(10)&amp;"Remito N° "&amp;A125&amp;CHAR(10)&amp;"Fecha entrega: "&amp;TEXT(C125,"DD/MM/YYYY")&amp;CHAR(10)&amp;"Cliente: "&amp;D125&amp;IF(E125&lt;&gt;"",", "&amp;E125,"")&amp;CHAR(10)&amp;"................................."&amp;CHAR(10)&amp;IF(F125&gt;0,"Alfajor Maicena x7: "&amp;F125&amp;" pack. x $"&amp;TEXT($T125,"#,##0")&amp;" = $"&amp;TEXT(F125*$T125,"#,##0")&amp;CHAR(10),"")&amp;IF(G125&gt;0,"Alfajor Frutal x7: "&amp;G125&amp;" pack. x $"&amp;TEXT($T125,"#,##0")&amp;" = $"&amp;TEXT(G125*$T125,"#,##0")&amp;CHAR(10),"")&amp;IF(H125&gt;0,"Alfajor Santafesino x7: "&amp;H125&amp;" pack. x $"&amp;TEXT($T125,"#,##0")&amp;" = $"&amp;TEXT(H125*$T125,"#,##0")&amp;CHAR(10),"")&amp;IF(I125&gt;0,"Alfajor Maicena x14: "&amp;I125&amp;" pack. x $"&amp;TEXT($U125,"#,##0")&amp;" = $"&amp;TEXT(I125*$U125,"#,##0")&amp;CHAR(10),"")&amp;IF(J125&gt;0,"Pepas DDL: "&amp;J125&amp;" band. x $"&amp;TEXT($V125,"#,##0")&amp;" = $"&amp;TEXT(J125*$V125,"#,##0")&amp;CHAR(10),"")&amp;IF(K125&gt;0,"Pepas Membrillo: "&amp;K125&amp;" band. x $"&amp;TEXT($V125,"#,##0")&amp;" = $"&amp;TEXT(K125*$V125,"#,##0")&amp;CHAR(10),"")&amp;IF(L125&gt;0,"Pepas Arándano: "&amp;L125&amp;" band. x $"&amp;TEXT($V125,"#,##0")&amp;" = $"&amp;TEXT(L125*$V125,"#,##0")&amp;CHAR(10),"")&amp;IF(M125&gt;0,"Pepas Batata: "&amp;M125&amp;" band. x $"&amp;TEXT($V125,"#,##0")&amp;" = $"&amp;TEXT(M125*$V125,"#,##0")&amp;CHAR(10),"")&amp;IF(N125&gt;0,"Pepas Frutos del Bosque: "&amp;N125&amp;" band. x $"&amp;TEXT($V125,"#,##0")&amp;" = $"&amp;TEXT(N125*$V125,"#,##0")&amp;CHAR(10),"")&amp;"................................."&amp;CHAR(10)&amp;"*TOTAL: $"&amp;TEXT(P125,"#,##0")&amp;"*"&amp;CHAR(10)&amp;CHAR(10)&amp;"¡Gracias por tu pedido! 🙏")</f>
        <v/>
      </c>
      <c r="T125" s="78">
        <f>IF(C125="",Config!$B$5,IF(C125&gt;=Config!$B$2,Config!$C$5,Config!$B$5))</f>
        <v/>
      </c>
      <c r="U125" s="78">
        <f>IF(C125="",Config!$B$8,IF(C125&gt;=Config!$B$2,Config!$C$8,Config!$B$8))</f>
        <v/>
      </c>
      <c r="V125" s="78">
        <f>IF(C125="",Config!$B$9,IF(C125&gt;=Config!$B$2,Config!$C$9,Config!$B$9))</f>
        <v/>
      </c>
    </row>
    <row r="126" ht="60" customHeight="1" s="55">
      <c r="A126" s="72">
        <f>IF(D126="","",ROW()-4)</f>
        <v/>
      </c>
      <c r="B126" s="73" t="n"/>
      <c r="C126" s="73" t="n"/>
      <c r="D126" s="74" t="n"/>
      <c r="E126" s="74" t="n"/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2">
        <f>IF(D126="","",SUM(F126:N126))</f>
        <v/>
      </c>
      <c r="P126" s="76">
        <f>IF(D126="","",(F126+G126+H126)*T126+I126*U126+(J126+K126+L126+M126+N126)*V126)</f>
        <v/>
      </c>
      <c r="Q126" s="74" t="n"/>
      <c r="R126" s="77">
        <f>IF(OR(D126="",O126=0),"","🥮 *NUESTRO ALFAJOR*"&amp;CHAR(10)&amp;"Remito N° "&amp;A126&amp;CHAR(10)&amp;"Fecha entrega: "&amp;TEXT(C126,"DD/MM/YYYY")&amp;CHAR(10)&amp;"Cliente: "&amp;D126&amp;IF(E126&lt;&gt;"",", "&amp;E126,"")&amp;CHAR(10)&amp;"................................."&amp;CHAR(10)&amp;IF(F126&gt;0,"Alfajor Maicena x7: "&amp;F126&amp;" pack. x $"&amp;TEXT($T126,"#,##0")&amp;" = $"&amp;TEXT(F126*$T126,"#,##0")&amp;CHAR(10),"")&amp;IF(G126&gt;0,"Alfajor Frutal x7: "&amp;G126&amp;" pack. x $"&amp;TEXT($T126,"#,##0")&amp;" = $"&amp;TEXT(G126*$T126,"#,##0")&amp;CHAR(10),"")&amp;IF(H126&gt;0,"Alfajor Santafesino x7: "&amp;H126&amp;" pack. x $"&amp;TEXT($T126,"#,##0")&amp;" = $"&amp;TEXT(H126*$T126,"#,##0")&amp;CHAR(10),"")&amp;IF(I126&gt;0,"Alfajor Maicena x14: "&amp;I126&amp;" pack. x $"&amp;TEXT($U126,"#,##0")&amp;" = $"&amp;TEXT(I126*$U126,"#,##0")&amp;CHAR(10),"")&amp;IF(J126&gt;0,"Pepas DDL: "&amp;J126&amp;" band. x $"&amp;TEXT($V126,"#,##0")&amp;" = $"&amp;TEXT(J126*$V126,"#,##0")&amp;CHAR(10),"")&amp;IF(K126&gt;0,"Pepas Membrillo: "&amp;K126&amp;" band. x $"&amp;TEXT($V126,"#,##0")&amp;" = $"&amp;TEXT(K126*$V126,"#,##0")&amp;CHAR(10),"")&amp;IF(L126&gt;0,"Pepas Arándano: "&amp;L126&amp;" band. x $"&amp;TEXT($V126,"#,##0")&amp;" = $"&amp;TEXT(L126*$V126,"#,##0")&amp;CHAR(10),"")&amp;IF(M126&gt;0,"Pepas Batata: "&amp;M126&amp;" band. x $"&amp;TEXT($V126,"#,##0")&amp;" = $"&amp;TEXT(M126*$V126,"#,##0")&amp;CHAR(10),"")&amp;IF(N126&gt;0,"Pepas Frutos del Bosque: "&amp;N126&amp;" band. x $"&amp;TEXT($V126,"#,##0")&amp;" = $"&amp;TEXT(N126*$V126,"#,##0")&amp;CHAR(10),"")&amp;"................................."&amp;CHAR(10)&amp;"*TOTAL: $"&amp;TEXT(P126,"#,##0")&amp;"*"&amp;CHAR(10)&amp;CHAR(10)&amp;"¡Gracias por tu pedido! 🙏")</f>
        <v/>
      </c>
      <c r="T126" s="78">
        <f>IF(C126="",Config!$B$5,IF(C126&gt;=Config!$B$2,Config!$C$5,Config!$B$5))</f>
        <v/>
      </c>
      <c r="U126" s="78">
        <f>IF(C126="",Config!$B$8,IF(C126&gt;=Config!$B$2,Config!$C$8,Config!$B$8))</f>
        <v/>
      </c>
      <c r="V126" s="78">
        <f>IF(C126="",Config!$B$9,IF(C126&gt;=Config!$B$2,Config!$C$9,Config!$B$9))</f>
        <v/>
      </c>
    </row>
    <row r="127" ht="60" customHeight="1" s="55">
      <c r="A127" s="72">
        <f>IF(D127="","",ROW()-4)</f>
        <v/>
      </c>
      <c r="B127" s="73" t="n"/>
      <c r="C127" s="73" t="n"/>
      <c r="D127" s="74" t="n"/>
      <c r="E127" s="74" t="n"/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2">
        <f>IF(D127="","",SUM(F127:N127))</f>
        <v/>
      </c>
      <c r="P127" s="76">
        <f>IF(D127="","",(F127+G127+H127)*T127+I127*U127+(J127+K127+L127+M127+N127)*V127)</f>
        <v/>
      </c>
      <c r="Q127" s="74" t="n"/>
      <c r="R127" s="77">
        <f>IF(OR(D127="",O127=0),"","🥮 *NUESTRO ALFAJOR*"&amp;CHAR(10)&amp;"Remito N° "&amp;A127&amp;CHAR(10)&amp;"Fecha entrega: "&amp;TEXT(C127,"DD/MM/YYYY")&amp;CHAR(10)&amp;"Cliente: "&amp;D127&amp;IF(E127&lt;&gt;"",", "&amp;E127,"")&amp;CHAR(10)&amp;"................................."&amp;CHAR(10)&amp;IF(F127&gt;0,"Alfajor Maicena x7: "&amp;F127&amp;" pack. x $"&amp;TEXT($T127,"#,##0")&amp;" = $"&amp;TEXT(F127*$T127,"#,##0")&amp;CHAR(10),"")&amp;IF(G127&gt;0,"Alfajor Frutal x7: "&amp;G127&amp;" pack. x $"&amp;TEXT($T127,"#,##0")&amp;" = $"&amp;TEXT(G127*$T127,"#,##0")&amp;CHAR(10),"")&amp;IF(H127&gt;0,"Alfajor Santafesino x7: "&amp;H127&amp;" pack. x $"&amp;TEXT($T127,"#,##0")&amp;" = $"&amp;TEXT(H127*$T127,"#,##0")&amp;CHAR(10),"")&amp;IF(I127&gt;0,"Alfajor Maicena x14: "&amp;I127&amp;" pack. x $"&amp;TEXT($U127,"#,##0")&amp;" = $"&amp;TEXT(I127*$U127,"#,##0")&amp;CHAR(10),"")&amp;IF(J127&gt;0,"Pepas DDL: "&amp;J127&amp;" band. x $"&amp;TEXT($V127,"#,##0")&amp;" = $"&amp;TEXT(J127*$V127,"#,##0")&amp;CHAR(10),"")&amp;IF(K127&gt;0,"Pepas Membrillo: "&amp;K127&amp;" band. x $"&amp;TEXT($V127,"#,##0")&amp;" = $"&amp;TEXT(K127*$V127,"#,##0")&amp;CHAR(10),"")&amp;IF(L127&gt;0,"Pepas Arándano: "&amp;L127&amp;" band. x $"&amp;TEXT($V127,"#,##0")&amp;" = $"&amp;TEXT(L127*$V127,"#,##0")&amp;CHAR(10),"")&amp;IF(M127&gt;0,"Pepas Batata: "&amp;M127&amp;" band. x $"&amp;TEXT($V127,"#,##0")&amp;" = $"&amp;TEXT(M127*$V127,"#,##0")&amp;CHAR(10),"")&amp;IF(N127&gt;0,"Pepas Frutos del Bosque: "&amp;N127&amp;" band. x $"&amp;TEXT($V127,"#,##0")&amp;" = $"&amp;TEXT(N127*$V127,"#,##0")&amp;CHAR(10),"")&amp;"................................."&amp;CHAR(10)&amp;"*TOTAL: $"&amp;TEXT(P127,"#,##0")&amp;"*"&amp;CHAR(10)&amp;CHAR(10)&amp;"¡Gracias por tu pedido! 🙏")</f>
        <v/>
      </c>
      <c r="T127" s="78">
        <f>IF(C127="",Config!$B$5,IF(C127&gt;=Config!$B$2,Config!$C$5,Config!$B$5))</f>
        <v/>
      </c>
      <c r="U127" s="78">
        <f>IF(C127="",Config!$B$8,IF(C127&gt;=Config!$B$2,Config!$C$8,Config!$B$8))</f>
        <v/>
      </c>
      <c r="V127" s="78">
        <f>IF(C127="",Config!$B$9,IF(C127&gt;=Config!$B$2,Config!$C$9,Config!$B$9))</f>
        <v/>
      </c>
    </row>
    <row r="128" ht="60" customHeight="1" s="55">
      <c r="A128" s="72">
        <f>IF(D128="","",ROW()-4)</f>
        <v/>
      </c>
      <c r="B128" s="73" t="n"/>
      <c r="C128" s="73" t="n"/>
      <c r="D128" s="74" t="n"/>
      <c r="E128" s="74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2">
        <f>IF(D128="","",SUM(F128:N128))</f>
        <v/>
      </c>
      <c r="P128" s="76">
        <f>IF(D128="","",(F128+G128+H128)*T128+I128*U128+(J128+K128+L128+M128+N128)*V128)</f>
        <v/>
      </c>
      <c r="Q128" s="74" t="n"/>
      <c r="R128" s="77">
        <f>IF(OR(D128="",O128=0),"","🥮 *NUESTRO ALFAJOR*"&amp;CHAR(10)&amp;"Remito N° "&amp;A128&amp;CHAR(10)&amp;"Fecha entrega: "&amp;TEXT(C128,"DD/MM/YYYY")&amp;CHAR(10)&amp;"Cliente: "&amp;D128&amp;IF(E128&lt;&gt;"",", "&amp;E128,"")&amp;CHAR(10)&amp;"................................."&amp;CHAR(10)&amp;IF(F128&gt;0,"Alfajor Maicena x7: "&amp;F128&amp;" pack. x $"&amp;TEXT($T128,"#,##0")&amp;" = $"&amp;TEXT(F128*$T128,"#,##0")&amp;CHAR(10),"")&amp;IF(G128&gt;0,"Alfajor Frutal x7: "&amp;G128&amp;" pack. x $"&amp;TEXT($T128,"#,##0")&amp;" = $"&amp;TEXT(G128*$T128,"#,##0")&amp;CHAR(10),"")&amp;IF(H128&gt;0,"Alfajor Santafesino x7: "&amp;H128&amp;" pack. x $"&amp;TEXT($T128,"#,##0")&amp;" = $"&amp;TEXT(H128*$T128,"#,##0")&amp;CHAR(10),"")&amp;IF(I128&gt;0,"Alfajor Maicena x14: "&amp;I128&amp;" pack. x $"&amp;TEXT($U128,"#,##0")&amp;" = $"&amp;TEXT(I128*$U128,"#,##0")&amp;CHAR(10),"")&amp;IF(J128&gt;0,"Pepas DDL: "&amp;J128&amp;" band. x $"&amp;TEXT($V128,"#,##0")&amp;" = $"&amp;TEXT(J128*$V128,"#,##0")&amp;CHAR(10),"")&amp;IF(K128&gt;0,"Pepas Membrillo: "&amp;K128&amp;" band. x $"&amp;TEXT($V128,"#,##0")&amp;" = $"&amp;TEXT(K128*$V128,"#,##0")&amp;CHAR(10),"")&amp;IF(L128&gt;0,"Pepas Arándano: "&amp;L128&amp;" band. x $"&amp;TEXT($V128,"#,##0")&amp;" = $"&amp;TEXT(L128*$V128,"#,##0")&amp;CHAR(10),"")&amp;IF(M128&gt;0,"Pepas Batata: "&amp;M128&amp;" band. x $"&amp;TEXT($V128,"#,##0")&amp;" = $"&amp;TEXT(M128*$V128,"#,##0")&amp;CHAR(10),"")&amp;IF(N128&gt;0,"Pepas Frutos del Bosque: "&amp;N128&amp;" band. x $"&amp;TEXT($V128,"#,##0")&amp;" = $"&amp;TEXT(N128*$V128,"#,##0")&amp;CHAR(10),"")&amp;"................................."&amp;CHAR(10)&amp;"*TOTAL: $"&amp;TEXT(P128,"#,##0")&amp;"*"&amp;CHAR(10)&amp;CHAR(10)&amp;"¡Gracias por tu pedido! 🙏")</f>
        <v/>
      </c>
      <c r="T128" s="78">
        <f>IF(C128="",Config!$B$5,IF(C128&gt;=Config!$B$2,Config!$C$5,Config!$B$5))</f>
        <v/>
      </c>
      <c r="U128" s="78">
        <f>IF(C128="",Config!$B$8,IF(C128&gt;=Config!$B$2,Config!$C$8,Config!$B$8))</f>
        <v/>
      </c>
      <c r="V128" s="78">
        <f>IF(C128="",Config!$B$9,IF(C128&gt;=Config!$B$2,Config!$C$9,Config!$B$9))</f>
        <v/>
      </c>
    </row>
    <row r="129" ht="60" customHeight="1" s="55">
      <c r="A129" s="72">
        <f>IF(D129="","",ROW()-4)</f>
        <v/>
      </c>
      <c r="B129" s="73" t="n"/>
      <c r="C129" s="73" t="n"/>
      <c r="D129" s="74" t="n"/>
      <c r="E129" s="74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2">
        <f>IF(D129="","",SUM(F129:N129))</f>
        <v/>
      </c>
      <c r="P129" s="76">
        <f>IF(D129="","",(F129+G129+H129)*T129+I129*U129+(J129+K129+L129+M129+N129)*V129)</f>
        <v/>
      </c>
      <c r="Q129" s="74" t="n"/>
      <c r="R129" s="77">
        <f>IF(OR(D129="",O129=0),"","🥮 *NUESTRO ALFAJOR*"&amp;CHAR(10)&amp;"Remito N° "&amp;A129&amp;CHAR(10)&amp;"Fecha entrega: "&amp;TEXT(C129,"DD/MM/YYYY")&amp;CHAR(10)&amp;"Cliente: "&amp;D129&amp;IF(E129&lt;&gt;"",", "&amp;E129,"")&amp;CHAR(10)&amp;"................................."&amp;CHAR(10)&amp;IF(F129&gt;0,"Alfajor Maicena x7: "&amp;F129&amp;" pack. x $"&amp;TEXT($T129,"#,##0")&amp;" = $"&amp;TEXT(F129*$T129,"#,##0")&amp;CHAR(10),"")&amp;IF(G129&gt;0,"Alfajor Frutal x7: "&amp;G129&amp;" pack. x $"&amp;TEXT($T129,"#,##0")&amp;" = $"&amp;TEXT(G129*$T129,"#,##0")&amp;CHAR(10),"")&amp;IF(H129&gt;0,"Alfajor Santafesino x7: "&amp;H129&amp;" pack. x $"&amp;TEXT($T129,"#,##0")&amp;" = $"&amp;TEXT(H129*$T129,"#,##0")&amp;CHAR(10),"")&amp;IF(I129&gt;0,"Alfajor Maicena x14: "&amp;I129&amp;" pack. x $"&amp;TEXT($U129,"#,##0")&amp;" = $"&amp;TEXT(I129*$U129,"#,##0")&amp;CHAR(10),"")&amp;IF(J129&gt;0,"Pepas DDL: "&amp;J129&amp;" band. x $"&amp;TEXT($V129,"#,##0")&amp;" = $"&amp;TEXT(J129*$V129,"#,##0")&amp;CHAR(10),"")&amp;IF(K129&gt;0,"Pepas Membrillo: "&amp;K129&amp;" band. x $"&amp;TEXT($V129,"#,##0")&amp;" = $"&amp;TEXT(K129*$V129,"#,##0")&amp;CHAR(10),"")&amp;IF(L129&gt;0,"Pepas Arándano: "&amp;L129&amp;" band. x $"&amp;TEXT($V129,"#,##0")&amp;" = $"&amp;TEXT(L129*$V129,"#,##0")&amp;CHAR(10),"")&amp;IF(M129&gt;0,"Pepas Batata: "&amp;M129&amp;" band. x $"&amp;TEXT($V129,"#,##0")&amp;" = $"&amp;TEXT(M129*$V129,"#,##0")&amp;CHAR(10),"")&amp;IF(N129&gt;0,"Pepas Frutos del Bosque: "&amp;N129&amp;" band. x $"&amp;TEXT($V129,"#,##0")&amp;" = $"&amp;TEXT(N129*$V129,"#,##0")&amp;CHAR(10),"")&amp;"................................."&amp;CHAR(10)&amp;"*TOTAL: $"&amp;TEXT(P129,"#,##0")&amp;"*"&amp;CHAR(10)&amp;CHAR(10)&amp;"¡Gracias por tu pedido! 🙏")</f>
        <v/>
      </c>
      <c r="T129" s="78">
        <f>IF(C129="",Config!$B$5,IF(C129&gt;=Config!$B$2,Config!$C$5,Config!$B$5))</f>
        <v/>
      </c>
      <c r="U129" s="78">
        <f>IF(C129="",Config!$B$8,IF(C129&gt;=Config!$B$2,Config!$C$8,Config!$B$8))</f>
        <v/>
      </c>
      <c r="V129" s="78">
        <f>IF(C129="",Config!$B$9,IF(C129&gt;=Config!$B$2,Config!$C$9,Config!$B$9))</f>
        <v/>
      </c>
    </row>
    <row r="130" ht="60" customHeight="1" s="55">
      <c r="A130" s="72">
        <f>IF(D130="","",ROW()-4)</f>
        <v/>
      </c>
      <c r="B130" s="73" t="n"/>
      <c r="C130" s="73" t="n"/>
      <c r="D130" s="74" t="n"/>
      <c r="E130" s="74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2">
        <f>IF(D130="","",SUM(F130:N130))</f>
        <v/>
      </c>
      <c r="P130" s="76">
        <f>IF(D130="","",(F130+G130+H130)*T130+I130*U130+(J130+K130+L130+M130+N130)*V130)</f>
        <v/>
      </c>
      <c r="Q130" s="74" t="n"/>
      <c r="R130" s="77">
        <f>IF(OR(D130="",O130=0),"","🥮 *NUESTRO ALFAJOR*"&amp;CHAR(10)&amp;"Remito N° "&amp;A130&amp;CHAR(10)&amp;"Fecha entrega: "&amp;TEXT(C130,"DD/MM/YYYY")&amp;CHAR(10)&amp;"Cliente: "&amp;D130&amp;IF(E130&lt;&gt;"",", "&amp;E130,"")&amp;CHAR(10)&amp;"................................."&amp;CHAR(10)&amp;IF(F130&gt;0,"Alfajor Maicena x7: "&amp;F130&amp;" pack. x $"&amp;TEXT($T130,"#,##0")&amp;" = $"&amp;TEXT(F130*$T130,"#,##0")&amp;CHAR(10),"")&amp;IF(G130&gt;0,"Alfajor Frutal x7: "&amp;G130&amp;" pack. x $"&amp;TEXT($T130,"#,##0")&amp;" = $"&amp;TEXT(G130*$T130,"#,##0")&amp;CHAR(10),"")&amp;IF(H130&gt;0,"Alfajor Santafesino x7: "&amp;H130&amp;" pack. x $"&amp;TEXT($T130,"#,##0")&amp;" = $"&amp;TEXT(H130*$T130,"#,##0")&amp;CHAR(10),"")&amp;IF(I130&gt;0,"Alfajor Maicena x14: "&amp;I130&amp;" pack. x $"&amp;TEXT($U130,"#,##0")&amp;" = $"&amp;TEXT(I130*$U130,"#,##0")&amp;CHAR(10),"")&amp;IF(J130&gt;0,"Pepas DDL: "&amp;J130&amp;" band. x $"&amp;TEXT($V130,"#,##0")&amp;" = $"&amp;TEXT(J130*$V130,"#,##0")&amp;CHAR(10),"")&amp;IF(K130&gt;0,"Pepas Membrillo: "&amp;K130&amp;" band. x $"&amp;TEXT($V130,"#,##0")&amp;" = $"&amp;TEXT(K130*$V130,"#,##0")&amp;CHAR(10),"")&amp;IF(L130&gt;0,"Pepas Arándano: "&amp;L130&amp;" band. x $"&amp;TEXT($V130,"#,##0")&amp;" = $"&amp;TEXT(L130*$V130,"#,##0")&amp;CHAR(10),"")&amp;IF(M130&gt;0,"Pepas Batata: "&amp;M130&amp;" band. x $"&amp;TEXT($V130,"#,##0")&amp;" = $"&amp;TEXT(M130*$V130,"#,##0")&amp;CHAR(10),"")&amp;IF(N130&gt;0,"Pepas Frutos del Bosque: "&amp;N130&amp;" band. x $"&amp;TEXT($V130,"#,##0")&amp;" = $"&amp;TEXT(N130*$V130,"#,##0")&amp;CHAR(10),"")&amp;"................................."&amp;CHAR(10)&amp;"*TOTAL: $"&amp;TEXT(P130,"#,##0")&amp;"*"&amp;CHAR(10)&amp;CHAR(10)&amp;"¡Gracias por tu pedido! 🙏")</f>
        <v/>
      </c>
      <c r="T130" s="78">
        <f>IF(C130="",Config!$B$5,IF(C130&gt;=Config!$B$2,Config!$C$5,Config!$B$5))</f>
        <v/>
      </c>
      <c r="U130" s="78">
        <f>IF(C130="",Config!$B$8,IF(C130&gt;=Config!$B$2,Config!$C$8,Config!$B$8))</f>
        <v/>
      </c>
      <c r="V130" s="78">
        <f>IF(C130="",Config!$B$9,IF(C130&gt;=Config!$B$2,Config!$C$9,Config!$B$9))</f>
        <v/>
      </c>
    </row>
    <row r="131" ht="60" customHeight="1" s="55">
      <c r="A131" s="72">
        <f>IF(D131="","",ROW()-4)</f>
        <v/>
      </c>
      <c r="B131" s="73" t="n"/>
      <c r="C131" s="73" t="n"/>
      <c r="D131" s="74" t="n"/>
      <c r="E131" s="74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2">
        <f>IF(D131="","",SUM(F131:N131))</f>
        <v/>
      </c>
      <c r="P131" s="76">
        <f>IF(D131="","",(F131+G131+H131)*T131+I131*U131+(J131+K131+L131+M131+N131)*V131)</f>
        <v/>
      </c>
      <c r="Q131" s="74" t="n"/>
      <c r="R131" s="77">
        <f>IF(OR(D131="",O131=0),"","🥮 *NUESTRO ALFAJOR*"&amp;CHAR(10)&amp;"Remito N° "&amp;A131&amp;CHAR(10)&amp;"Fecha entrega: "&amp;TEXT(C131,"DD/MM/YYYY")&amp;CHAR(10)&amp;"Cliente: "&amp;D131&amp;IF(E131&lt;&gt;"",", "&amp;E131,"")&amp;CHAR(10)&amp;"................................."&amp;CHAR(10)&amp;IF(F131&gt;0,"Alfajor Maicena x7: "&amp;F131&amp;" pack. x $"&amp;TEXT($T131,"#,##0")&amp;" = $"&amp;TEXT(F131*$T131,"#,##0")&amp;CHAR(10),"")&amp;IF(G131&gt;0,"Alfajor Frutal x7: "&amp;G131&amp;" pack. x $"&amp;TEXT($T131,"#,##0")&amp;" = $"&amp;TEXT(G131*$T131,"#,##0")&amp;CHAR(10),"")&amp;IF(H131&gt;0,"Alfajor Santafesino x7: "&amp;H131&amp;" pack. x $"&amp;TEXT($T131,"#,##0")&amp;" = $"&amp;TEXT(H131*$T131,"#,##0")&amp;CHAR(10),"")&amp;IF(I131&gt;0,"Alfajor Maicena x14: "&amp;I131&amp;" pack. x $"&amp;TEXT($U131,"#,##0")&amp;" = $"&amp;TEXT(I131*$U131,"#,##0")&amp;CHAR(10),"")&amp;IF(J131&gt;0,"Pepas DDL: "&amp;J131&amp;" band. x $"&amp;TEXT($V131,"#,##0")&amp;" = $"&amp;TEXT(J131*$V131,"#,##0")&amp;CHAR(10),"")&amp;IF(K131&gt;0,"Pepas Membrillo: "&amp;K131&amp;" band. x $"&amp;TEXT($V131,"#,##0")&amp;" = $"&amp;TEXT(K131*$V131,"#,##0")&amp;CHAR(10),"")&amp;IF(L131&gt;0,"Pepas Arándano: "&amp;L131&amp;" band. x $"&amp;TEXT($V131,"#,##0")&amp;" = $"&amp;TEXT(L131*$V131,"#,##0")&amp;CHAR(10),"")&amp;IF(M131&gt;0,"Pepas Batata: "&amp;M131&amp;" band. x $"&amp;TEXT($V131,"#,##0")&amp;" = $"&amp;TEXT(M131*$V131,"#,##0")&amp;CHAR(10),"")&amp;IF(N131&gt;0,"Pepas Frutos del Bosque: "&amp;N131&amp;" band. x $"&amp;TEXT($V131,"#,##0")&amp;" = $"&amp;TEXT(N131*$V131,"#,##0")&amp;CHAR(10),"")&amp;"................................."&amp;CHAR(10)&amp;"*TOTAL: $"&amp;TEXT(P131,"#,##0")&amp;"*"&amp;CHAR(10)&amp;CHAR(10)&amp;"¡Gracias por tu pedido! 🙏")</f>
        <v/>
      </c>
      <c r="T131" s="78">
        <f>IF(C131="",Config!$B$5,IF(C131&gt;=Config!$B$2,Config!$C$5,Config!$B$5))</f>
        <v/>
      </c>
      <c r="U131" s="78">
        <f>IF(C131="",Config!$B$8,IF(C131&gt;=Config!$B$2,Config!$C$8,Config!$B$8))</f>
        <v/>
      </c>
      <c r="V131" s="78">
        <f>IF(C131="",Config!$B$9,IF(C131&gt;=Config!$B$2,Config!$C$9,Config!$B$9))</f>
        <v/>
      </c>
    </row>
    <row r="132" ht="60" customHeight="1" s="55">
      <c r="A132" s="72">
        <f>IF(D132="","",ROW()-4)</f>
        <v/>
      </c>
      <c r="B132" s="73" t="n"/>
      <c r="C132" s="73" t="n"/>
      <c r="D132" s="74" t="n"/>
      <c r="E132" s="74" t="n"/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2">
        <f>IF(D132="","",SUM(F132:N132))</f>
        <v/>
      </c>
      <c r="P132" s="76">
        <f>IF(D132="","",(F132+G132+H132)*T132+I132*U132+(J132+K132+L132+M132+N132)*V132)</f>
        <v/>
      </c>
      <c r="Q132" s="74" t="n"/>
      <c r="R132" s="77">
        <f>IF(OR(D132="",O132=0),"","🥮 *NUESTRO ALFAJOR*"&amp;CHAR(10)&amp;"Remito N° "&amp;A132&amp;CHAR(10)&amp;"Fecha entrega: "&amp;TEXT(C132,"DD/MM/YYYY")&amp;CHAR(10)&amp;"Cliente: "&amp;D132&amp;IF(E132&lt;&gt;"",", "&amp;E132,"")&amp;CHAR(10)&amp;"................................."&amp;CHAR(10)&amp;IF(F132&gt;0,"Alfajor Maicena x7: "&amp;F132&amp;" pack. x $"&amp;TEXT($T132,"#,##0")&amp;" = $"&amp;TEXT(F132*$T132,"#,##0")&amp;CHAR(10),"")&amp;IF(G132&gt;0,"Alfajor Frutal x7: "&amp;G132&amp;" pack. x $"&amp;TEXT($T132,"#,##0")&amp;" = $"&amp;TEXT(G132*$T132,"#,##0")&amp;CHAR(10),"")&amp;IF(H132&gt;0,"Alfajor Santafesino x7: "&amp;H132&amp;" pack. x $"&amp;TEXT($T132,"#,##0")&amp;" = $"&amp;TEXT(H132*$T132,"#,##0")&amp;CHAR(10),"")&amp;IF(I132&gt;0,"Alfajor Maicena x14: "&amp;I132&amp;" pack. x $"&amp;TEXT($U132,"#,##0")&amp;" = $"&amp;TEXT(I132*$U132,"#,##0")&amp;CHAR(10),"")&amp;IF(J132&gt;0,"Pepas DDL: "&amp;J132&amp;" band. x $"&amp;TEXT($V132,"#,##0")&amp;" = $"&amp;TEXT(J132*$V132,"#,##0")&amp;CHAR(10),"")&amp;IF(K132&gt;0,"Pepas Membrillo: "&amp;K132&amp;" band. x $"&amp;TEXT($V132,"#,##0")&amp;" = $"&amp;TEXT(K132*$V132,"#,##0")&amp;CHAR(10),"")&amp;IF(L132&gt;0,"Pepas Arándano: "&amp;L132&amp;" band. x $"&amp;TEXT($V132,"#,##0")&amp;" = $"&amp;TEXT(L132*$V132,"#,##0")&amp;CHAR(10),"")&amp;IF(M132&gt;0,"Pepas Batata: "&amp;M132&amp;" band. x $"&amp;TEXT($V132,"#,##0")&amp;" = $"&amp;TEXT(M132*$V132,"#,##0")&amp;CHAR(10),"")&amp;IF(N132&gt;0,"Pepas Frutos del Bosque: "&amp;N132&amp;" band. x $"&amp;TEXT($V132,"#,##0")&amp;" = $"&amp;TEXT(N132*$V132,"#,##0")&amp;CHAR(10),"")&amp;"................................."&amp;CHAR(10)&amp;"*TOTAL: $"&amp;TEXT(P132,"#,##0")&amp;"*"&amp;CHAR(10)&amp;CHAR(10)&amp;"¡Gracias por tu pedido! 🙏")</f>
        <v/>
      </c>
      <c r="T132" s="78">
        <f>IF(C132="",Config!$B$5,IF(C132&gt;=Config!$B$2,Config!$C$5,Config!$B$5))</f>
        <v/>
      </c>
      <c r="U132" s="78">
        <f>IF(C132="",Config!$B$8,IF(C132&gt;=Config!$B$2,Config!$C$8,Config!$B$8))</f>
        <v/>
      </c>
      <c r="V132" s="78">
        <f>IF(C132="",Config!$B$9,IF(C132&gt;=Config!$B$2,Config!$C$9,Config!$B$9))</f>
        <v/>
      </c>
    </row>
    <row r="133" ht="60" customHeight="1" s="55">
      <c r="A133" s="72">
        <f>IF(D133="","",ROW()-4)</f>
        <v/>
      </c>
      <c r="B133" s="73" t="n"/>
      <c r="C133" s="73" t="n"/>
      <c r="D133" s="74" t="n"/>
      <c r="E133" s="74" t="n"/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2">
        <f>IF(D133="","",SUM(F133:N133))</f>
        <v/>
      </c>
      <c r="P133" s="76">
        <f>IF(D133="","",(F133+G133+H133)*T133+I133*U133+(J133+K133+L133+M133+N133)*V133)</f>
        <v/>
      </c>
      <c r="Q133" s="74" t="n"/>
      <c r="R133" s="77">
        <f>IF(OR(D133="",O133=0),"","🥮 *NUESTRO ALFAJOR*"&amp;CHAR(10)&amp;"Remito N° "&amp;A133&amp;CHAR(10)&amp;"Fecha entrega: "&amp;TEXT(C133,"DD/MM/YYYY")&amp;CHAR(10)&amp;"Cliente: "&amp;D133&amp;IF(E133&lt;&gt;"",", "&amp;E133,"")&amp;CHAR(10)&amp;"................................."&amp;CHAR(10)&amp;IF(F133&gt;0,"Alfajor Maicena x7: "&amp;F133&amp;" pack. x $"&amp;TEXT($T133,"#,##0")&amp;" = $"&amp;TEXT(F133*$T133,"#,##0")&amp;CHAR(10),"")&amp;IF(G133&gt;0,"Alfajor Frutal x7: "&amp;G133&amp;" pack. x $"&amp;TEXT($T133,"#,##0")&amp;" = $"&amp;TEXT(G133*$T133,"#,##0")&amp;CHAR(10),"")&amp;IF(H133&gt;0,"Alfajor Santafesino x7: "&amp;H133&amp;" pack. x $"&amp;TEXT($T133,"#,##0")&amp;" = $"&amp;TEXT(H133*$T133,"#,##0")&amp;CHAR(10),"")&amp;IF(I133&gt;0,"Alfajor Maicena x14: "&amp;I133&amp;" pack. x $"&amp;TEXT($U133,"#,##0")&amp;" = $"&amp;TEXT(I133*$U133,"#,##0")&amp;CHAR(10),"")&amp;IF(J133&gt;0,"Pepas DDL: "&amp;J133&amp;" band. x $"&amp;TEXT($V133,"#,##0")&amp;" = $"&amp;TEXT(J133*$V133,"#,##0")&amp;CHAR(10),"")&amp;IF(K133&gt;0,"Pepas Membrillo: "&amp;K133&amp;" band. x $"&amp;TEXT($V133,"#,##0")&amp;" = $"&amp;TEXT(K133*$V133,"#,##0")&amp;CHAR(10),"")&amp;IF(L133&gt;0,"Pepas Arándano: "&amp;L133&amp;" band. x $"&amp;TEXT($V133,"#,##0")&amp;" = $"&amp;TEXT(L133*$V133,"#,##0")&amp;CHAR(10),"")&amp;IF(M133&gt;0,"Pepas Batata: "&amp;M133&amp;" band. x $"&amp;TEXT($V133,"#,##0")&amp;" = $"&amp;TEXT(M133*$V133,"#,##0")&amp;CHAR(10),"")&amp;IF(N133&gt;0,"Pepas Frutos del Bosque: "&amp;N133&amp;" band. x $"&amp;TEXT($V133,"#,##0")&amp;" = $"&amp;TEXT(N133*$V133,"#,##0")&amp;CHAR(10),"")&amp;"................................."&amp;CHAR(10)&amp;"*TOTAL: $"&amp;TEXT(P133,"#,##0")&amp;"*"&amp;CHAR(10)&amp;CHAR(10)&amp;"¡Gracias por tu pedido! 🙏")</f>
        <v/>
      </c>
      <c r="T133" s="78">
        <f>IF(C133="",Config!$B$5,IF(C133&gt;=Config!$B$2,Config!$C$5,Config!$B$5))</f>
        <v/>
      </c>
      <c r="U133" s="78">
        <f>IF(C133="",Config!$B$8,IF(C133&gt;=Config!$B$2,Config!$C$8,Config!$B$8))</f>
        <v/>
      </c>
      <c r="V133" s="78">
        <f>IF(C133="",Config!$B$9,IF(C133&gt;=Config!$B$2,Config!$C$9,Config!$B$9))</f>
        <v/>
      </c>
    </row>
    <row r="134" ht="60" customHeight="1" s="55">
      <c r="A134" s="72">
        <f>IF(D134="","",ROW()-4)</f>
        <v/>
      </c>
      <c r="B134" s="73" t="n"/>
      <c r="C134" s="73" t="n"/>
      <c r="D134" s="74" t="n"/>
      <c r="E134" s="74" t="n"/>
      <c r="F134" s="7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2">
        <f>IF(D134="","",SUM(F134:N134))</f>
        <v/>
      </c>
      <c r="P134" s="76">
        <f>IF(D134="","",(F134+G134+H134)*T134+I134*U134+(J134+K134+L134+M134+N134)*V134)</f>
        <v/>
      </c>
      <c r="Q134" s="74" t="n"/>
      <c r="R134" s="77">
        <f>IF(OR(D134="",O134=0),"","🥮 *NUESTRO ALFAJOR*"&amp;CHAR(10)&amp;"Remito N° "&amp;A134&amp;CHAR(10)&amp;"Fecha entrega: "&amp;TEXT(C134,"DD/MM/YYYY")&amp;CHAR(10)&amp;"Cliente: "&amp;D134&amp;IF(E134&lt;&gt;"",", "&amp;E134,"")&amp;CHAR(10)&amp;"................................."&amp;CHAR(10)&amp;IF(F134&gt;0,"Alfajor Maicena x7: "&amp;F134&amp;" pack. x $"&amp;TEXT($T134,"#,##0")&amp;" = $"&amp;TEXT(F134*$T134,"#,##0")&amp;CHAR(10),"")&amp;IF(G134&gt;0,"Alfajor Frutal x7: "&amp;G134&amp;" pack. x $"&amp;TEXT($T134,"#,##0")&amp;" = $"&amp;TEXT(G134*$T134,"#,##0")&amp;CHAR(10),"")&amp;IF(H134&gt;0,"Alfajor Santafesino x7: "&amp;H134&amp;" pack. x $"&amp;TEXT($T134,"#,##0")&amp;" = $"&amp;TEXT(H134*$T134,"#,##0")&amp;CHAR(10),"")&amp;IF(I134&gt;0,"Alfajor Maicena x14: "&amp;I134&amp;" pack. x $"&amp;TEXT($U134,"#,##0")&amp;" = $"&amp;TEXT(I134*$U134,"#,##0")&amp;CHAR(10),"")&amp;IF(J134&gt;0,"Pepas DDL: "&amp;J134&amp;" band. x $"&amp;TEXT($V134,"#,##0")&amp;" = $"&amp;TEXT(J134*$V134,"#,##0")&amp;CHAR(10),"")&amp;IF(K134&gt;0,"Pepas Membrillo: "&amp;K134&amp;" band. x $"&amp;TEXT($V134,"#,##0")&amp;" = $"&amp;TEXT(K134*$V134,"#,##0")&amp;CHAR(10),"")&amp;IF(L134&gt;0,"Pepas Arándano: "&amp;L134&amp;" band. x $"&amp;TEXT($V134,"#,##0")&amp;" = $"&amp;TEXT(L134*$V134,"#,##0")&amp;CHAR(10),"")&amp;IF(M134&gt;0,"Pepas Batata: "&amp;M134&amp;" band. x $"&amp;TEXT($V134,"#,##0")&amp;" = $"&amp;TEXT(M134*$V134,"#,##0")&amp;CHAR(10),"")&amp;IF(N134&gt;0,"Pepas Frutos del Bosque: "&amp;N134&amp;" band. x $"&amp;TEXT($V134,"#,##0")&amp;" = $"&amp;TEXT(N134*$V134,"#,##0")&amp;CHAR(10),"")&amp;"................................."&amp;CHAR(10)&amp;"*TOTAL: $"&amp;TEXT(P134,"#,##0")&amp;"*"&amp;CHAR(10)&amp;CHAR(10)&amp;"¡Gracias por tu pedido! 🙏")</f>
        <v/>
      </c>
      <c r="T134" s="78">
        <f>IF(C134="",Config!$B$5,IF(C134&gt;=Config!$B$2,Config!$C$5,Config!$B$5))</f>
        <v/>
      </c>
      <c r="U134" s="78">
        <f>IF(C134="",Config!$B$8,IF(C134&gt;=Config!$B$2,Config!$C$8,Config!$B$8))</f>
        <v/>
      </c>
      <c r="V134" s="78">
        <f>IF(C134="",Config!$B$9,IF(C134&gt;=Config!$B$2,Config!$C$9,Config!$B$9))</f>
        <v/>
      </c>
    </row>
    <row r="135" ht="60" customHeight="1" s="55">
      <c r="A135" s="72">
        <f>IF(D135="","",ROW()-4)</f>
        <v/>
      </c>
      <c r="B135" s="73" t="n"/>
      <c r="C135" s="73" t="n"/>
      <c r="D135" s="74" t="n"/>
      <c r="E135" s="74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2">
        <f>IF(D135="","",SUM(F135:N135))</f>
        <v/>
      </c>
      <c r="P135" s="76">
        <f>IF(D135="","",(F135+G135+H135)*T135+I135*U135+(J135+K135+L135+M135+N135)*V135)</f>
        <v/>
      </c>
      <c r="Q135" s="74" t="n"/>
      <c r="R135" s="77">
        <f>IF(OR(D135="",O135=0),"","🥮 *NUESTRO ALFAJOR*"&amp;CHAR(10)&amp;"Remito N° "&amp;A135&amp;CHAR(10)&amp;"Fecha entrega: "&amp;TEXT(C135,"DD/MM/YYYY")&amp;CHAR(10)&amp;"Cliente: "&amp;D135&amp;IF(E135&lt;&gt;"",", "&amp;E135,"")&amp;CHAR(10)&amp;"................................."&amp;CHAR(10)&amp;IF(F135&gt;0,"Alfajor Maicena x7: "&amp;F135&amp;" pack. x $"&amp;TEXT($T135,"#,##0")&amp;" = $"&amp;TEXT(F135*$T135,"#,##0")&amp;CHAR(10),"")&amp;IF(G135&gt;0,"Alfajor Frutal x7: "&amp;G135&amp;" pack. x $"&amp;TEXT($T135,"#,##0")&amp;" = $"&amp;TEXT(G135*$T135,"#,##0")&amp;CHAR(10),"")&amp;IF(H135&gt;0,"Alfajor Santafesino x7: "&amp;H135&amp;" pack. x $"&amp;TEXT($T135,"#,##0")&amp;" = $"&amp;TEXT(H135*$T135,"#,##0")&amp;CHAR(10),"")&amp;IF(I135&gt;0,"Alfajor Maicena x14: "&amp;I135&amp;" pack. x $"&amp;TEXT($U135,"#,##0")&amp;" = $"&amp;TEXT(I135*$U135,"#,##0")&amp;CHAR(10),"")&amp;IF(J135&gt;0,"Pepas DDL: "&amp;J135&amp;" band. x $"&amp;TEXT($V135,"#,##0")&amp;" = $"&amp;TEXT(J135*$V135,"#,##0")&amp;CHAR(10),"")&amp;IF(K135&gt;0,"Pepas Membrillo: "&amp;K135&amp;" band. x $"&amp;TEXT($V135,"#,##0")&amp;" = $"&amp;TEXT(K135*$V135,"#,##0")&amp;CHAR(10),"")&amp;IF(L135&gt;0,"Pepas Arándano: "&amp;L135&amp;" band. x $"&amp;TEXT($V135,"#,##0")&amp;" = $"&amp;TEXT(L135*$V135,"#,##0")&amp;CHAR(10),"")&amp;IF(M135&gt;0,"Pepas Batata: "&amp;M135&amp;" band. x $"&amp;TEXT($V135,"#,##0")&amp;" = $"&amp;TEXT(M135*$V135,"#,##0")&amp;CHAR(10),"")&amp;IF(N135&gt;0,"Pepas Frutos del Bosque: "&amp;N135&amp;" band. x $"&amp;TEXT($V135,"#,##0")&amp;" = $"&amp;TEXT(N135*$V135,"#,##0")&amp;CHAR(10),"")&amp;"................................."&amp;CHAR(10)&amp;"*TOTAL: $"&amp;TEXT(P135,"#,##0")&amp;"*"&amp;CHAR(10)&amp;CHAR(10)&amp;"¡Gracias por tu pedido! 🙏")</f>
        <v/>
      </c>
      <c r="T135" s="78">
        <f>IF(C135="",Config!$B$5,IF(C135&gt;=Config!$B$2,Config!$C$5,Config!$B$5))</f>
        <v/>
      </c>
      <c r="U135" s="78">
        <f>IF(C135="",Config!$B$8,IF(C135&gt;=Config!$B$2,Config!$C$8,Config!$B$8))</f>
        <v/>
      </c>
      <c r="V135" s="78">
        <f>IF(C135="",Config!$B$9,IF(C135&gt;=Config!$B$2,Config!$C$9,Config!$B$9))</f>
        <v/>
      </c>
    </row>
    <row r="136" ht="60" customHeight="1" s="55">
      <c r="A136" s="72">
        <f>IF(D136="","",ROW()-4)</f>
        <v/>
      </c>
      <c r="B136" s="73" t="n"/>
      <c r="C136" s="73" t="n"/>
      <c r="D136" s="74" t="n"/>
      <c r="E136" s="74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2">
        <f>IF(D136="","",SUM(F136:N136))</f>
        <v/>
      </c>
      <c r="P136" s="76">
        <f>IF(D136="","",(F136+G136+H136)*T136+I136*U136+(J136+K136+L136+M136+N136)*V136)</f>
        <v/>
      </c>
      <c r="Q136" s="74" t="n"/>
      <c r="R136" s="77">
        <f>IF(OR(D136="",O136=0),"","🥮 *NUESTRO ALFAJOR*"&amp;CHAR(10)&amp;"Remito N° "&amp;A136&amp;CHAR(10)&amp;"Fecha entrega: "&amp;TEXT(C136,"DD/MM/YYYY")&amp;CHAR(10)&amp;"Cliente: "&amp;D136&amp;IF(E136&lt;&gt;"",", "&amp;E136,"")&amp;CHAR(10)&amp;"................................."&amp;CHAR(10)&amp;IF(F136&gt;0,"Alfajor Maicena x7: "&amp;F136&amp;" pack. x $"&amp;TEXT($T136,"#,##0")&amp;" = $"&amp;TEXT(F136*$T136,"#,##0")&amp;CHAR(10),"")&amp;IF(G136&gt;0,"Alfajor Frutal x7: "&amp;G136&amp;" pack. x $"&amp;TEXT($T136,"#,##0")&amp;" = $"&amp;TEXT(G136*$T136,"#,##0")&amp;CHAR(10),"")&amp;IF(H136&gt;0,"Alfajor Santafesino x7: "&amp;H136&amp;" pack. x $"&amp;TEXT($T136,"#,##0")&amp;" = $"&amp;TEXT(H136*$T136,"#,##0")&amp;CHAR(10),"")&amp;IF(I136&gt;0,"Alfajor Maicena x14: "&amp;I136&amp;" pack. x $"&amp;TEXT($U136,"#,##0")&amp;" = $"&amp;TEXT(I136*$U136,"#,##0")&amp;CHAR(10),"")&amp;IF(J136&gt;0,"Pepas DDL: "&amp;J136&amp;" band. x $"&amp;TEXT($V136,"#,##0")&amp;" = $"&amp;TEXT(J136*$V136,"#,##0")&amp;CHAR(10),"")&amp;IF(K136&gt;0,"Pepas Membrillo: "&amp;K136&amp;" band. x $"&amp;TEXT($V136,"#,##0")&amp;" = $"&amp;TEXT(K136*$V136,"#,##0")&amp;CHAR(10),"")&amp;IF(L136&gt;0,"Pepas Arándano: "&amp;L136&amp;" band. x $"&amp;TEXT($V136,"#,##0")&amp;" = $"&amp;TEXT(L136*$V136,"#,##0")&amp;CHAR(10),"")&amp;IF(M136&gt;0,"Pepas Batata: "&amp;M136&amp;" band. x $"&amp;TEXT($V136,"#,##0")&amp;" = $"&amp;TEXT(M136*$V136,"#,##0")&amp;CHAR(10),"")&amp;IF(N136&gt;0,"Pepas Frutos del Bosque: "&amp;N136&amp;" band. x $"&amp;TEXT($V136,"#,##0")&amp;" = $"&amp;TEXT(N136*$V136,"#,##0")&amp;CHAR(10),"")&amp;"................................."&amp;CHAR(10)&amp;"*TOTAL: $"&amp;TEXT(P136,"#,##0")&amp;"*"&amp;CHAR(10)&amp;CHAR(10)&amp;"¡Gracias por tu pedido! 🙏")</f>
        <v/>
      </c>
      <c r="T136" s="78">
        <f>IF(C136="",Config!$B$5,IF(C136&gt;=Config!$B$2,Config!$C$5,Config!$B$5))</f>
        <v/>
      </c>
      <c r="U136" s="78">
        <f>IF(C136="",Config!$B$8,IF(C136&gt;=Config!$B$2,Config!$C$8,Config!$B$8))</f>
        <v/>
      </c>
      <c r="V136" s="78">
        <f>IF(C136="",Config!$B$9,IF(C136&gt;=Config!$B$2,Config!$C$9,Config!$B$9))</f>
        <v/>
      </c>
    </row>
    <row r="137" ht="60" customHeight="1" s="55">
      <c r="A137" s="72">
        <f>IF(D137="","",ROW()-4)</f>
        <v/>
      </c>
      <c r="B137" s="73" t="n"/>
      <c r="C137" s="73" t="n"/>
      <c r="D137" s="74" t="n"/>
      <c r="E137" s="74" t="n"/>
      <c r="F137" s="75" t="n"/>
      <c r="G137" s="75" t="n"/>
      <c r="H137" s="75" t="n"/>
      <c r="I137" s="75" t="n"/>
      <c r="J137" s="75" t="n"/>
      <c r="K137" s="75" t="n"/>
      <c r="L137" s="75" t="n"/>
      <c r="M137" s="75" t="n"/>
      <c r="N137" s="75" t="n"/>
      <c r="O137" s="72">
        <f>IF(D137="","",SUM(F137:N137))</f>
        <v/>
      </c>
      <c r="P137" s="76">
        <f>IF(D137="","",(F137+G137+H137)*T137+I137*U137+(J137+K137+L137+M137+N137)*V137)</f>
        <v/>
      </c>
      <c r="Q137" s="74" t="n"/>
      <c r="R137" s="77">
        <f>IF(OR(D137="",O137=0),"","🥮 *NUESTRO ALFAJOR*"&amp;CHAR(10)&amp;"Remito N° "&amp;A137&amp;CHAR(10)&amp;"Fecha entrega: "&amp;TEXT(C137,"DD/MM/YYYY")&amp;CHAR(10)&amp;"Cliente: "&amp;D137&amp;IF(E137&lt;&gt;"",", "&amp;E137,"")&amp;CHAR(10)&amp;"................................."&amp;CHAR(10)&amp;IF(F137&gt;0,"Alfajor Maicena x7: "&amp;F137&amp;" pack. x $"&amp;TEXT($T137,"#,##0")&amp;" = $"&amp;TEXT(F137*$T137,"#,##0")&amp;CHAR(10),"")&amp;IF(G137&gt;0,"Alfajor Frutal x7: "&amp;G137&amp;" pack. x $"&amp;TEXT($T137,"#,##0")&amp;" = $"&amp;TEXT(G137*$T137,"#,##0")&amp;CHAR(10),"")&amp;IF(H137&gt;0,"Alfajor Santafesino x7: "&amp;H137&amp;" pack. x $"&amp;TEXT($T137,"#,##0")&amp;" = $"&amp;TEXT(H137*$T137,"#,##0")&amp;CHAR(10),"")&amp;IF(I137&gt;0,"Alfajor Maicena x14: "&amp;I137&amp;" pack. x $"&amp;TEXT($U137,"#,##0")&amp;" = $"&amp;TEXT(I137*$U137,"#,##0")&amp;CHAR(10),"")&amp;IF(J137&gt;0,"Pepas DDL: "&amp;J137&amp;" band. x $"&amp;TEXT($V137,"#,##0")&amp;" = $"&amp;TEXT(J137*$V137,"#,##0")&amp;CHAR(10),"")&amp;IF(K137&gt;0,"Pepas Membrillo: "&amp;K137&amp;" band. x $"&amp;TEXT($V137,"#,##0")&amp;" = $"&amp;TEXT(K137*$V137,"#,##0")&amp;CHAR(10),"")&amp;IF(L137&gt;0,"Pepas Arándano: "&amp;L137&amp;" band. x $"&amp;TEXT($V137,"#,##0")&amp;" = $"&amp;TEXT(L137*$V137,"#,##0")&amp;CHAR(10),"")&amp;IF(M137&gt;0,"Pepas Batata: "&amp;M137&amp;" band. x $"&amp;TEXT($V137,"#,##0")&amp;" = $"&amp;TEXT(M137*$V137,"#,##0")&amp;CHAR(10),"")&amp;IF(N137&gt;0,"Pepas Frutos del Bosque: "&amp;N137&amp;" band. x $"&amp;TEXT($V137,"#,##0")&amp;" = $"&amp;TEXT(N137*$V137,"#,##0")&amp;CHAR(10),"")&amp;"................................."&amp;CHAR(10)&amp;"*TOTAL: $"&amp;TEXT(P137,"#,##0")&amp;"*"&amp;CHAR(10)&amp;CHAR(10)&amp;"¡Gracias por tu pedido! 🙏")</f>
        <v/>
      </c>
      <c r="T137" s="78">
        <f>IF(C137="",Config!$B$5,IF(C137&gt;=Config!$B$2,Config!$C$5,Config!$B$5))</f>
        <v/>
      </c>
      <c r="U137" s="78">
        <f>IF(C137="",Config!$B$8,IF(C137&gt;=Config!$B$2,Config!$C$8,Config!$B$8))</f>
        <v/>
      </c>
      <c r="V137" s="78">
        <f>IF(C137="",Config!$B$9,IF(C137&gt;=Config!$B$2,Config!$C$9,Config!$B$9))</f>
        <v/>
      </c>
    </row>
    <row r="138" ht="60" customHeight="1" s="55">
      <c r="A138" s="72">
        <f>IF(D138="","",ROW()-4)</f>
        <v/>
      </c>
      <c r="B138" s="73" t="n"/>
      <c r="C138" s="73" t="n"/>
      <c r="D138" s="74" t="n"/>
      <c r="E138" s="74" t="n"/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2">
        <f>IF(D138="","",SUM(F138:N138))</f>
        <v/>
      </c>
      <c r="P138" s="76">
        <f>IF(D138="","",(F138+G138+H138)*T138+I138*U138+(J138+K138+L138+M138+N138)*V138)</f>
        <v/>
      </c>
      <c r="Q138" s="74" t="n"/>
      <c r="R138" s="77">
        <f>IF(OR(D138="",O138=0),"","🥮 *NUESTRO ALFAJOR*"&amp;CHAR(10)&amp;"Remito N° "&amp;A138&amp;CHAR(10)&amp;"Fecha entrega: "&amp;TEXT(C138,"DD/MM/YYYY")&amp;CHAR(10)&amp;"Cliente: "&amp;D138&amp;IF(E138&lt;&gt;"",", "&amp;E138,"")&amp;CHAR(10)&amp;"................................."&amp;CHAR(10)&amp;IF(F138&gt;0,"Alfajor Maicena x7: "&amp;F138&amp;" pack. x $"&amp;TEXT($T138,"#,##0")&amp;" = $"&amp;TEXT(F138*$T138,"#,##0")&amp;CHAR(10),"")&amp;IF(G138&gt;0,"Alfajor Frutal x7: "&amp;G138&amp;" pack. x $"&amp;TEXT($T138,"#,##0")&amp;" = $"&amp;TEXT(G138*$T138,"#,##0")&amp;CHAR(10),"")&amp;IF(H138&gt;0,"Alfajor Santafesino x7: "&amp;H138&amp;" pack. x $"&amp;TEXT($T138,"#,##0")&amp;" = $"&amp;TEXT(H138*$T138,"#,##0")&amp;CHAR(10),"")&amp;IF(I138&gt;0,"Alfajor Maicena x14: "&amp;I138&amp;" pack. x $"&amp;TEXT($U138,"#,##0")&amp;" = $"&amp;TEXT(I138*$U138,"#,##0")&amp;CHAR(10),"")&amp;IF(J138&gt;0,"Pepas DDL: "&amp;J138&amp;" band. x $"&amp;TEXT($V138,"#,##0")&amp;" = $"&amp;TEXT(J138*$V138,"#,##0")&amp;CHAR(10),"")&amp;IF(K138&gt;0,"Pepas Membrillo: "&amp;K138&amp;" band. x $"&amp;TEXT($V138,"#,##0")&amp;" = $"&amp;TEXT(K138*$V138,"#,##0")&amp;CHAR(10),"")&amp;IF(L138&gt;0,"Pepas Arándano: "&amp;L138&amp;" band. x $"&amp;TEXT($V138,"#,##0")&amp;" = $"&amp;TEXT(L138*$V138,"#,##0")&amp;CHAR(10),"")&amp;IF(M138&gt;0,"Pepas Batata: "&amp;M138&amp;" band. x $"&amp;TEXT($V138,"#,##0")&amp;" = $"&amp;TEXT(M138*$V138,"#,##0")&amp;CHAR(10),"")&amp;IF(N138&gt;0,"Pepas Frutos del Bosque: "&amp;N138&amp;" band. x $"&amp;TEXT($V138,"#,##0")&amp;" = $"&amp;TEXT(N138*$V138,"#,##0")&amp;CHAR(10),"")&amp;"................................."&amp;CHAR(10)&amp;"*TOTAL: $"&amp;TEXT(P138,"#,##0")&amp;"*"&amp;CHAR(10)&amp;CHAR(10)&amp;"¡Gracias por tu pedido! 🙏")</f>
        <v/>
      </c>
      <c r="T138" s="78">
        <f>IF(C138="",Config!$B$5,IF(C138&gt;=Config!$B$2,Config!$C$5,Config!$B$5))</f>
        <v/>
      </c>
      <c r="U138" s="78">
        <f>IF(C138="",Config!$B$8,IF(C138&gt;=Config!$B$2,Config!$C$8,Config!$B$8))</f>
        <v/>
      </c>
      <c r="V138" s="78">
        <f>IF(C138="",Config!$B$9,IF(C138&gt;=Config!$B$2,Config!$C$9,Config!$B$9))</f>
        <v/>
      </c>
    </row>
    <row r="139" ht="60" customHeight="1" s="55">
      <c r="A139" s="72">
        <f>IF(D139="","",ROW()-4)</f>
        <v/>
      </c>
      <c r="B139" s="73" t="n"/>
      <c r="C139" s="73" t="n"/>
      <c r="D139" s="74" t="n"/>
      <c r="E139" s="74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2">
        <f>IF(D139="","",SUM(F139:N139))</f>
        <v/>
      </c>
      <c r="P139" s="76">
        <f>IF(D139="","",(F139+G139+H139)*T139+I139*U139+(J139+K139+L139+M139+N139)*V139)</f>
        <v/>
      </c>
      <c r="Q139" s="74" t="n"/>
      <c r="R139" s="77">
        <f>IF(OR(D139="",O139=0),"","🥮 *NUESTRO ALFAJOR*"&amp;CHAR(10)&amp;"Remito N° "&amp;A139&amp;CHAR(10)&amp;"Fecha entrega: "&amp;TEXT(C139,"DD/MM/YYYY")&amp;CHAR(10)&amp;"Cliente: "&amp;D139&amp;IF(E139&lt;&gt;"",", "&amp;E139,"")&amp;CHAR(10)&amp;"................................."&amp;CHAR(10)&amp;IF(F139&gt;0,"Alfajor Maicena x7: "&amp;F139&amp;" pack. x $"&amp;TEXT($T139,"#,##0")&amp;" = $"&amp;TEXT(F139*$T139,"#,##0")&amp;CHAR(10),"")&amp;IF(G139&gt;0,"Alfajor Frutal x7: "&amp;G139&amp;" pack. x $"&amp;TEXT($T139,"#,##0")&amp;" = $"&amp;TEXT(G139*$T139,"#,##0")&amp;CHAR(10),"")&amp;IF(H139&gt;0,"Alfajor Santafesino x7: "&amp;H139&amp;" pack. x $"&amp;TEXT($T139,"#,##0")&amp;" = $"&amp;TEXT(H139*$T139,"#,##0")&amp;CHAR(10),"")&amp;IF(I139&gt;0,"Alfajor Maicena x14: "&amp;I139&amp;" pack. x $"&amp;TEXT($U139,"#,##0")&amp;" = $"&amp;TEXT(I139*$U139,"#,##0")&amp;CHAR(10),"")&amp;IF(J139&gt;0,"Pepas DDL: "&amp;J139&amp;" band. x $"&amp;TEXT($V139,"#,##0")&amp;" = $"&amp;TEXT(J139*$V139,"#,##0")&amp;CHAR(10),"")&amp;IF(K139&gt;0,"Pepas Membrillo: "&amp;K139&amp;" band. x $"&amp;TEXT($V139,"#,##0")&amp;" = $"&amp;TEXT(K139*$V139,"#,##0")&amp;CHAR(10),"")&amp;IF(L139&gt;0,"Pepas Arándano: "&amp;L139&amp;" band. x $"&amp;TEXT($V139,"#,##0")&amp;" = $"&amp;TEXT(L139*$V139,"#,##0")&amp;CHAR(10),"")&amp;IF(M139&gt;0,"Pepas Batata: "&amp;M139&amp;" band. x $"&amp;TEXT($V139,"#,##0")&amp;" = $"&amp;TEXT(M139*$V139,"#,##0")&amp;CHAR(10),"")&amp;IF(N139&gt;0,"Pepas Frutos del Bosque: "&amp;N139&amp;" band. x $"&amp;TEXT($V139,"#,##0")&amp;" = $"&amp;TEXT(N139*$V139,"#,##0")&amp;CHAR(10),"")&amp;"................................."&amp;CHAR(10)&amp;"*TOTAL: $"&amp;TEXT(P139,"#,##0")&amp;"*"&amp;CHAR(10)&amp;CHAR(10)&amp;"¡Gracias por tu pedido! 🙏")</f>
        <v/>
      </c>
      <c r="T139" s="78">
        <f>IF(C139="",Config!$B$5,IF(C139&gt;=Config!$B$2,Config!$C$5,Config!$B$5))</f>
        <v/>
      </c>
      <c r="U139" s="78">
        <f>IF(C139="",Config!$B$8,IF(C139&gt;=Config!$B$2,Config!$C$8,Config!$B$8))</f>
        <v/>
      </c>
      <c r="V139" s="78">
        <f>IF(C139="",Config!$B$9,IF(C139&gt;=Config!$B$2,Config!$C$9,Config!$B$9))</f>
        <v/>
      </c>
    </row>
    <row r="140" ht="60" customHeight="1" s="55">
      <c r="A140" s="72">
        <f>IF(D140="","",ROW()-4)</f>
        <v/>
      </c>
      <c r="B140" s="73" t="n"/>
      <c r="C140" s="73" t="n"/>
      <c r="D140" s="74" t="n"/>
      <c r="E140" s="74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2">
        <f>IF(D140="","",SUM(F140:N140))</f>
        <v/>
      </c>
      <c r="P140" s="76">
        <f>IF(D140="","",(F140+G140+H140)*T140+I140*U140+(J140+K140+L140+M140+N140)*V140)</f>
        <v/>
      </c>
      <c r="Q140" s="74" t="n"/>
      <c r="R140" s="77">
        <f>IF(OR(D140="",O140=0),"","🥮 *NUESTRO ALFAJOR*"&amp;CHAR(10)&amp;"Remito N° "&amp;A140&amp;CHAR(10)&amp;"Fecha entrega: "&amp;TEXT(C140,"DD/MM/YYYY")&amp;CHAR(10)&amp;"Cliente: "&amp;D140&amp;IF(E140&lt;&gt;"",", "&amp;E140,"")&amp;CHAR(10)&amp;"................................."&amp;CHAR(10)&amp;IF(F140&gt;0,"Alfajor Maicena x7: "&amp;F140&amp;" pack. x $"&amp;TEXT($T140,"#,##0")&amp;" = $"&amp;TEXT(F140*$T140,"#,##0")&amp;CHAR(10),"")&amp;IF(G140&gt;0,"Alfajor Frutal x7: "&amp;G140&amp;" pack. x $"&amp;TEXT($T140,"#,##0")&amp;" = $"&amp;TEXT(G140*$T140,"#,##0")&amp;CHAR(10),"")&amp;IF(H140&gt;0,"Alfajor Santafesino x7: "&amp;H140&amp;" pack. x $"&amp;TEXT($T140,"#,##0")&amp;" = $"&amp;TEXT(H140*$T140,"#,##0")&amp;CHAR(10),"")&amp;IF(I140&gt;0,"Alfajor Maicena x14: "&amp;I140&amp;" pack. x $"&amp;TEXT($U140,"#,##0")&amp;" = $"&amp;TEXT(I140*$U140,"#,##0")&amp;CHAR(10),"")&amp;IF(J140&gt;0,"Pepas DDL: "&amp;J140&amp;" band. x $"&amp;TEXT($V140,"#,##0")&amp;" = $"&amp;TEXT(J140*$V140,"#,##0")&amp;CHAR(10),"")&amp;IF(K140&gt;0,"Pepas Membrillo: "&amp;K140&amp;" band. x $"&amp;TEXT($V140,"#,##0")&amp;" = $"&amp;TEXT(K140*$V140,"#,##0")&amp;CHAR(10),"")&amp;IF(L140&gt;0,"Pepas Arándano: "&amp;L140&amp;" band. x $"&amp;TEXT($V140,"#,##0")&amp;" = $"&amp;TEXT(L140*$V140,"#,##0")&amp;CHAR(10),"")&amp;IF(M140&gt;0,"Pepas Batata: "&amp;M140&amp;" band. x $"&amp;TEXT($V140,"#,##0")&amp;" = $"&amp;TEXT(M140*$V140,"#,##0")&amp;CHAR(10),"")&amp;IF(N140&gt;0,"Pepas Frutos del Bosque: "&amp;N140&amp;" band. x $"&amp;TEXT($V140,"#,##0")&amp;" = $"&amp;TEXT(N140*$V140,"#,##0")&amp;CHAR(10),"")&amp;"................................."&amp;CHAR(10)&amp;"*TOTAL: $"&amp;TEXT(P140,"#,##0")&amp;"*"&amp;CHAR(10)&amp;CHAR(10)&amp;"¡Gracias por tu pedido! 🙏")</f>
        <v/>
      </c>
      <c r="T140" s="78">
        <f>IF(C140="",Config!$B$5,IF(C140&gt;=Config!$B$2,Config!$C$5,Config!$B$5))</f>
        <v/>
      </c>
      <c r="U140" s="78">
        <f>IF(C140="",Config!$B$8,IF(C140&gt;=Config!$B$2,Config!$C$8,Config!$B$8))</f>
        <v/>
      </c>
      <c r="V140" s="78">
        <f>IF(C140="",Config!$B$9,IF(C140&gt;=Config!$B$2,Config!$C$9,Config!$B$9))</f>
        <v/>
      </c>
    </row>
    <row r="141" ht="60" customHeight="1" s="55">
      <c r="A141" s="72">
        <f>IF(D141="","",ROW()-4)</f>
        <v/>
      </c>
      <c r="B141" s="73" t="n"/>
      <c r="C141" s="73" t="n"/>
      <c r="D141" s="74" t="n"/>
      <c r="E141" s="74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2">
        <f>IF(D141="","",SUM(F141:N141))</f>
        <v/>
      </c>
      <c r="P141" s="76">
        <f>IF(D141="","",(F141+G141+H141)*T141+I141*U141+(J141+K141+L141+M141+N141)*V141)</f>
        <v/>
      </c>
      <c r="Q141" s="74" t="n"/>
      <c r="R141" s="77">
        <f>IF(OR(D141="",O141=0),"","🥮 *NUESTRO ALFAJOR*"&amp;CHAR(10)&amp;"Remito N° "&amp;A141&amp;CHAR(10)&amp;"Fecha entrega: "&amp;TEXT(C141,"DD/MM/YYYY")&amp;CHAR(10)&amp;"Cliente: "&amp;D141&amp;IF(E141&lt;&gt;"",", "&amp;E141,"")&amp;CHAR(10)&amp;"................................."&amp;CHAR(10)&amp;IF(F141&gt;0,"Alfajor Maicena x7: "&amp;F141&amp;" pack. x $"&amp;TEXT($T141,"#,##0")&amp;" = $"&amp;TEXT(F141*$T141,"#,##0")&amp;CHAR(10),"")&amp;IF(G141&gt;0,"Alfajor Frutal x7: "&amp;G141&amp;" pack. x $"&amp;TEXT($T141,"#,##0")&amp;" = $"&amp;TEXT(G141*$T141,"#,##0")&amp;CHAR(10),"")&amp;IF(H141&gt;0,"Alfajor Santafesino x7: "&amp;H141&amp;" pack. x $"&amp;TEXT($T141,"#,##0")&amp;" = $"&amp;TEXT(H141*$T141,"#,##0")&amp;CHAR(10),"")&amp;IF(I141&gt;0,"Alfajor Maicena x14: "&amp;I141&amp;" pack. x $"&amp;TEXT($U141,"#,##0")&amp;" = $"&amp;TEXT(I141*$U141,"#,##0")&amp;CHAR(10),"")&amp;IF(J141&gt;0,"Pepas DDL: "&amp;J141&amp;" band. x $"&amp;TEXT($V141,"#,##0")&amp;" = $"&amp;TEXT(J141*$V141,"#,##0")&amp;CHAR(10),"")&amp;IF(K141&gt;0,"Pepas Membrillo: "&amp;K141&amp;" band. x $"&amp;TEXT($V141,"#,##0")&amp;" = $"&amp;TEXT(K141*$V141,"#,##0")&amp;CHAR(10),"")&amp;IF(L141&gt;0,"Pepas Arándano: "&amp;L141&amp;" band. x $"&amp;TEXT($V141,"#,##0")&amp;" = $"&amp;TEXT(L141*$V141,"#,##0")&amp;CHAR(10),"")&amp;IF(M141&gt;0,"Pepas Batata: "&amp;M141&amp;" band. x $"&amp;TEXT($V141,"#,##0")&amp;" = $"&amp;TEXT(M141*$V141,"#,##0")&amp;CHAR(10),"")&amp;IF(N141&gt;0,"Pepas Frutos del Bosque: "&amp;N141&amp;" band. x $"&amp;TEXT($V141,"#,##0")&amp;" = $"&amp;TEXT(N141*$V141,"#,##0")&amp;CHAR(10),"")&amp;"................................."&amp;CHAR(10)&amp;"*TOTAL: $"&amp;TEXT(P141,"#,##0")&amp;"*"&amp;CHAR(10)&amp;CHAR(10)&amp;"¡Gracias por tu pedido! 🙏")</f>
        <v/>
      </c>
      <c r="T141" s="78">
        <f>IF(C141="",Config!$B$5,IF(C141&gt;=Config!$B$2,Config!$C$5,Config!$B$5))</f>
        <v/>
      </c>
      <c r="U141" s="78">
        <f>IF(C141="",Config!$B$8,IF(C141&gt;=Config!$B$2,Config!$C$8,Config!$B$8))</f>
        <v/>
      </c>
      <c r="V141" s="78">
        <f>IF(C141="",Config!$B$9,IF(C141&gt;=Config!$B$2,Config!$C$9,Config!$B$9))</f>
        <v/>
      </c>
    </row>
    <row r="142" ht="60" customHeight="1" s="55">
      <c r="A142" s="72">
        <f>IF(D142="","",ROW()-4)</f>
        <v/>
      </c>
      <c r="B142" s="73" t="n"/>
      <c r="C142" s="73" t="n"/>
      <c r="D142" s="74" t="n"/>
      <c r="E142" s="74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2">
        <f>IF(D142="","",SUM(F142:N142))</f>
        <v/>
      </c>
      <c r="P142" s="76">
        <f>IF(D142="","",(F142+G142+H142)*T142+I142*U142+(J142+K142+L142+M142+N142)*V142)</f>
        <v/>
      </c>
      <c r="Q142" s="74" t="n"/>
      <c r="R142" s="77">
        <f>IF(OR(D142="",O142=0),"","🥮 *NUESTRO ALFAJOR*"&amp;CHAR(10)&amp;"Remito N° "&amp;A142&amp;CHAR(10)&amp;"Fecha entrega: "&amp;TEXT(C142,"DD/MM/YYYY")&amp;CHAR(10)&amp;"Cliente: "&amp;D142&amp;IF(E142&lt;&gt;"",", "&amp;E142,"")&amp;CHAR(10)&amp;"................................."&amp;CHAR(10)&amp;IF(F142&gt;0,"Alfajor Maicena x7: "&amp;F142&amp;" pack. x $"&amp;TEXT($T142,"#,##0")&amp;" = $"&amp;TEXT(F142*$T142,"#,##0")&amp;CHAR(10),"")&amp;IF(G142&gt;0,"Alfajor Frutal x7: "&amp;G142&amp;" pack. x $"&amp;TEXT($T142,"#,##0")&amp;" = $"&amp;TEXT(G142*$T142,"#,##0")&amp;CHAR(10),"")&amp;IF(H142&gt;0,"Alfajor Santafesino x7: "&amp;H142&amp;" pack. x $"&amp;TEXT($T142,"#,##0")&amp;" = $"&amp;TEXT(H142*$T142,"#,##0")&amp;CHAR(10),"")&amp;IF(I142&gt;0,"Alfajor Maicena x14: "&amp;I142&amp;" pack. x $"&amp;TEXT($U142,"#,##0")&amp;" = $"&amp;TEXT(I142*$U142,"#,##0")&amp;CHAR(10),"")&amp;IF(J142&gt;0,"Pepas DDL: "&amp;J142&amp;" band. x $"&amp;TEXT($V142,"#,##0")&amp;" = $"&amp;TEXT(J142*$V142,"#,##0")&amp;CHAR(10),"")&amp;IF(K142&gt;0,"Pepas Membrillo: "&amp;K142&amp;" band. x $"&amp;TEXT($V142,"#,##0")&amp;" = $"&amp;TEXT(K142*$V142,"#,##0")&amp;CHAR(10),"")&amp;IF(L142&gt;0,"Pepas Arándano: "&amp;L142&amp;" band. x $"&amp;TEXT($V142,"#,##0")&amp;" = $"&amp;TEXT(L142*$V142,"#,##0")&amp;CHAR(10),"")&amp;IF(M142&gt;0,"Pepas Batata: "&amp;M142&amp;" band. x $"&amp;TEXT($V142,"#,##0")&amp;" = $"&amp;TEXT(M142*$V142,"#,##0")&amp;CHAR(10),"")&amp;IF(N142&gt;0,"Pepas Frutos del Bosque: "&amp;N142&amp;" band. x $"&amp;TEXT($V142,"#,##0")&amp;" = $"&amp;TEXT(N142*$V142,"#,##0")&amp;CHAR(10),"")&amp;"................................."&amp;CHAR(10)&amp;"*TOTAL: $"&amp;TEXT(P142,"#,##0")&amp;"*"&amp;CHAR(10)&amp;CHAR(10)&amp;"¡Gracias por tu pedido! 🙏")</f>
        <v/>
      </c>
      <c r="T142" s="78">
        <f>IF(C142="",Config!$B$5,IF(C142&gt;=Config!$B$2,Config!$C$5,Config!$B$5))</f>
        <v/>
      </c>
      <c r="U142" s="78">
        <f>IF(C142="",Config!$B$8,IF(C142&gt;=Config!$B$2,Config!$C$8,Config!$B$8))</f>
        <v/>
      </c>
      <c r="V142" s="78">
        <f>IF(C142="",Config!$B$9,IF(C142&gt;=Config!$B$2,Config!$C$9,Config!$B$9))</f>
        <v/>
      </c>
    </row>
    <row r="143" ht="60" customHeight="1" s="55">
      <c r="A143" s="72">
        <f>IF(D143="","",ROW()-4)</f>
        <v/>
      </c>
      <c r="B143" s="73" t="n"/>
      <c r="C143" s="73" t="n"/>
      <c r="D143" s="74" t="n"/>
      <c r="E143" s="74" t="n"/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2">
        <f>IF(D143="","",SUM(F143:N143))</f>
        <v/>
      </c>
      <c r="P143" s="76">
        <f>IF(D143="","",(F143+G143+H143)*T143+I143*U143+(J143+K143+L143+M143+N143)*V143)</f>
        <v/>
      </c>
      <c r="Q143" s="74" t="n"/>
      <c r="R143" s="77">
        <f>IF(OR(D143="",O143=0),"","🥮 *NUESTRO ALFAJOR*"&amp;CHAR(10)&amp;"Remito N° "&amp;A143&amp;CHAR(10)&amp;"Fecha entrega: "&amp;TEXT(C143,"DD/MM/YYYY")&amp;CHAR(10)&amp;"Cliente: "&amp;D143&amp;IF(E143&lt;&gt;"",", "&amp;E143,"")&amp;CHAR(10)&amp;"................................."&amp;CHAR(10)&amp;IF(F143&gt;0,"Alfajor Maicena x7: "&amp;F143&amp;" pack. x $"&amp;TEXT($T143,"#,##0")&amp;" = $"&amp;TEXT(F143*$T143,"#,##0")&amp;CHAR(10),"")&amp;IF(G143&gt;0,"Alfajor Frutal x7: "&amp;G143&amp;" pack. x $"&amp;TEXT($T143,"#,##0")&amp;" = $"&amp;TEXT(G143*$T143,"#,##0")&amp;CHAR(10),"")&amp;IF(H143&gt;0,"Alfajor Santafesino x7: "&amp;H143&amp;" pack. x $"&amp;TEXT($T143,"#,##0")&amp;" = $"&amp;TEXT(H143*$T143,"#,##0")&amp;CHAR(10),"")&amp;IF(I143&gt;0,"Alfajor Maicena x14: "&amp;I143&amp;" pack. x $"&amp;TEXT($U143,"#,##0")&amp;" = $"&amp;TEXT(I143*$U143,"#,##0")&amp;CHAR(10),"")&amp;IF(J143&gt;0,"Pepas DDL: "&amp;J143&amp;" band. x $"&amp;TEXT($V143,"#,##0")&amp;" = $"&amp;TEXT(J143*$V143,"#,##0")&amp;CHAR(10),"")&amp;IF(K143&gt;0,"Pepas Membrillo: "&amp;K143&amp;" band. x $"&amp;TEXT($V143,"#,##0")&amp;" = $"&amp;TEXT(K143*$V143,"#,##0")&amp;CHAR(10),"")&amp;IF(L143&gt;0,"Pepas Arándano: "&amp;L143&amp;" band. x $"&amp;TEXT($V143,"#,##0")&amp;" = $"&amp;TEXT(L143*$V143,"#,##0")&amp;CHAR(10),"")&amp;IF(M143&gt;0,"Pepas Batata: "&amp;M143&amp;" band. x $"&amp;TEXT($V143,"#,##0")&amp;" = $"&amp;TEXT(M143*$V143,"#,##0")&amp;CHAR(10),"")&amp;IF(N143&gt;0,"Pepas Frutos del Bosque: "&amp;N143&amp;" band. x $"&amp;TEXT($V143,"#,##0")&amp;" = $"&amp;TEXT(N143*$V143,"#,##0")&amp;CHAR(10),"")&amp;"................................."&amp;CHAR(10)&amp;"*TOTAL: $"&amp;TEXT(P143,"#,##0")&amp;"*"&amp;CHAR(10)&amp;CHAR(10)&amp;"¡Gracias por tu pedido! 🙏")</f>
        <v/>
      </c>
      <c r="T143" s="78">
        <f>IF(C143="",Config!$B$5,IF(C143&gt;=Config!$B$2,Config!$C$5,Config!$B$5))</f>
        <v/>
      </c>
      <c r="U143" s="78">
        <f>IF(C143="",Config!$B$8,IF(C143&gt;=Config!$B$2,Config!$C$8,Config!$B$8))</f>
        <v/>
      </c>
      <c r="V143" s="78">
        <f>IF(C143="",Config!$B$9,IF(C143&gt;=Config!$B$2,Config!$C$9,Config!$B$9))</f>
        <v/>
      </c>
    </row>
    <row r="144" ht="60" customHeight="1" s="55">
      <c r="A144" s="72">
        <f>IF(D144="","",ROW()-4)</f>
        <v/>
      </c>
      <c r="B144" s="73" t="n"/>
      <c r="C144" s="73" t="n"/>
      <c r="D144" s="74" t="n"/>
      <c r="E144" s="74" t="n"/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2">
        <f>IF(D144="","",SUM(F144:N144))</f>
        <v/>
      </c>
      <c r="P144" s="76">
        <f>IF(D144="","",(F144+G144+H144)*T144+I144*U144+(J144+K144+L144+M144+N144)*V144)</f>
        <v/>
      </c>
      <c r="Q144" s="74" t="n"/>
      <c r="R144" s="77">
        <f>IF(OR(D144="",O144=0),"","🥮 *NUESTRO ALFAJOR*"&amp;CHAR(10)&amp;"Remito N° "&amp;A144&amp;CHAR(10)&amp;"Fecha entrega: "&amp;TEXT(C144,"DD/MM/YYYY")&amp;CHAR(10)&amp;"Cliente: "&amp;D144&amp;IF(E144&lt;&gt;"",", "&amp;E144,"")&amp;CHAR(10)&amp;"................................."&amp;CHAR(10)&amp;IF(F144&gt;0,"Alfajor Maicena x7: "&amp;F144&amp;" pack. x $"&amp;TEXT($T144,"#,##0")&amp;" = $"&amp;TEXT(F144*$T144,"#,##0")&amp;CHAR(10),"")&amp;IF(G144&gt;0,"Alfajor Frutal x7: "&amp;G144&amp;" pack. x $"&amp;TEXT($T144,"#,##0")&amp;" = $"&amp;TEXT(G144*$T144,"#,##0")&amp;CHAR(10),"")&amp;IF(H144&gt;0,"Alfajor Santafesino x7: "&amp;H144&amp;" pack. x $"&amp;TEXT($T144,"#,##0")&amp;" = $"&amp;TEXT(H144*$T144,"#,##0")&amp;CHAR(10),"")&amp;IF(I144&gt;0,"Alfajor Maicena x14: "&amp;I144&amp;" pack. x $"&amp;TEXT($U144,"#,##0")&amp;" = $"&amp;TEXT(I144*$U144,"#,##0")&amp;CHAR(10),"")&amp;IF(J144&gt;0,"Pepas DDL: "&amp;J144&amp;" band. x $"&amp;TEXT($V144,"#,##0")&amp;" = $"&amp;TEXT(J144*$V144,"#,##0")&amp;CHAR(10),"")&amp;IF(K144&gt;0,"Pepas Membrillo: "&amp;K144&amp;" band. x $"&amp;TEXT($V144,"#,##0")&amp;" = $"&amp;TEXT(K144*$V144,"#,##0")&amp;CHAR(10),"")&amp;IF(L144&gt;0,"Pepas Arándano: "&amp;L144&amp;" band. x $"&amp;TEXT($V144,"#,##0")&amp;" = $"&amp;TEXT(L144*$V144,"#,##0")&amp;CHAR(10),"")&amp;IF(M144&gt;0,"Pepas Batata: "&amp;M144&amp;" band. x $"&amp;TEXT($V144,"#,##0")&amp;" = $"&amp;TEXT(M144*$V144,"#,##0")&amp;CHAR(10),"")&amp;IF(N144&gt;0,"Pepas Frutos del Bosque: "&amp;N144&amp;" band. x $"&amp;TEXT($V144,"#,##0")&amp;" = $"&amp;TEXT(N144*$V144,"#,##0")&amp;CHAR(10),"")&amp;"................................."&amp;CHAR(10)&amp;"*TOTAL: $"&amp;TEXT(P144,"#,##0")&amp;"*"&amp;CHAR(10)&amp;CHAR(10)&amp;"¡Gracias por tu pedido! 🙏")</f>
        <v/>
      </c>
      <c r="T144" s="78">
        <f>IF(C144="",Config!$B$5,IF(C144&gt;=Config!$B$2,Config!$C$5,Config!$B$5))</f>
        <v/>
      </c>
      <c r="U144" s="78">
        <f>IF(C144="",Config!$B$8,IF(C144&gt;=Config!$B$2,Config!$C$8,Config!$B$8))</f>
        <v/>
      </c>
      <c r="V144" s="78">
        <f>IF(C144="",Config!$B$9,IF(C144&gt;=Config!$B$2,Config!$C$9,Config!$B$9))</f>
        <v/>
      </c>
    </row>
    <row r="145" ht="60" customHeight="1" s="55">
      <c r="A145" s="72">
        <f>IF(D145="","",ROW()-4)</f>
        <v/>
      </c>
      <c r="B145" s="73" t="n"/>
      <c r="C145" s="73" t="n"/>
      <c r="D145" s="74" t="n"/>
      <c r="E145" s="74" t="n"/>
      <c r="F145" s="75" t="n"/>
      <c r="G145" s="75" t="n"/>
      <c r="H145" s="75" t="n"/>
      <c r="I145" s="75" t="n"/>
      <c r="J145" s="75" t="n"/>
      <c r="K145" s="75" t="n"/>
      <c r="L145" s="75" t="n"/>
      <c r="M145" s="75" t="n"/>
      <c r="N145" s="75" t="n"/>
      <c r="O145" s="72">
        <f>IF(D145="","",SUM(F145:N145))</f>
        <v/>
      </c>
      <c r="P145" s="76">
        <f>IF(D145="","",(F145+G145+H145)*T145+I145*U145+(J145+K145+L145+M145+N145)*V145)</f>
        <v/>
      </c>
      <c r="Q145" s="74" t="n"/>
      <c r="R145" s="77">
        <f>IF(OR(D145="",O145=0),"","🥮 *NUESTRO ALFAJOR*"&amp;CHAR(10)&amp;"Remito N° "&amp;A145&amp;CHAR(10)&amp;"Fecha entrega: "&amp;TEXT(C145,"DD/MM/YYYY")&amp;CHAR(10)&amp;"Cliente: "&amp;D145&amp;IF(E145&lt;&gt;"",", "&amp;E145,"")&amp;CHAR(10)&amp;"................................."&amp;CHAR(10)&amp;IF(F145&gt;0,"Alfajor Maicena x7: "&amp;F145&amp;" pack. x $"&amp;TEXT($T145,"#,##0")&amp;" = $"&amp;TEXT(F145*$T145,"#,##0")&amp;CHAR(10),"")&amp;IF(G145&gt;0,"Alfajor Frutal x7: "&amp;G145&amp;" pack. x $"&amp;TEXT($T145,"#,##0")&amp;" = $"&amp;TEXT(G145*$T145,"#,##0")&amp;CHAR(10),"")&amp;IF(H145&gt;0,"Alfajor Santafesino x7: "&amp;H145&amp;" pack. x $"&amp;TEXT($T145,"#,##0")&amp;" = $"&amp;TEXT(H145*$T145,"#,##0")&amp;CHAR(10),"")&amp;IF(I145&gt;0,"Alfajor Maicena x14: "&amp;I145&amp;" pack. x $"&amp;TEXT($U145,"#,##0")&amp;" = $"&amp;TEXT(I145*$U145,"#,##0")&amp;CHAR(10),"")&amp;IF(J145&gt;0,"Pepas DDL: "&amp;J145&amp;" band. x $"&amp;TEXT($V145,"#,##0")&amp;" = $"&amp;TEXT(J145*$V145,"#,##0")&amp;CHAR(10),"")&amp;IF(K145&gt;0,"Pepas Membrillo: "&amp;K145&amp;" band. x $"&amp;TEXT($V145,"#,##0")&amp;" = $"&amp;TEXT(K145*$V145,"#,##0")&amp;CHAR(10),"")&amp;IF(L145&gt;0,"Pepas Arándano: "&amp;L145&amp;" band. x $"&amp;TEXT($V145,"#,##0")&amp;" = $"&amp;TEXT(L145*$V145,"#,##0")&amp;CHAR(10),"")&amp;IF(M145&gt;0,"Pepas Batata: "&amp;M145&amp;" band. x $"&amp;TEXT($V145,"#,##0")&amp;" = $"&amp;TEXT(M145*$V145,"#,##0")&amp;CHAR(10),"")&amp;IF(N145&gt;0,"Pepas Frutos del Bosque: "&amp;N145&amp;" band. x $"&amp;TEXT($V145,"#,##0")&amp;" = $"&amp;TEXT(N145*$V145,"#,##0")&amp;CHAR(10),"")&amp;"................................."&amp;CHAR(10)&amp;"*TOTAL: $"&amp;TEXT(P145,"#,##0")&amp;"*"&amp;CHAR(10)&amp;CHAR(10)&amp;"¡Gracias por tu pedido! 🙏")</f>
        <v/>
      </c>
      <c r="T145" s="78">
        <f>IF(C145="",Config!$B$5,IF(C145&gt;=Config!$B$2,Config!$C$5,Config!$B$5))</f>
        <v/>
      </c>
      <c r="U145" s="78">
        <f>IF(C145="",Config!$B$8,IF(C145&gt;=Config!$B$2,Config!$C$8,Config!$B$8))</f>
        <v/>
      </c>
      <c r="V145" s="78">
        <f>IF(C145="",Config!$B$9,IF(C145&gt;=Config!$B$2,Config!$C$9,Config!$B$9))</f>
        <v/>
      </c>
    </row>
    <row r="146" ht="60" customHeight="1" s="55">
      <c r="A146" s="72">
        <f>IF(D146="","",ROW()-4)</f>
        <v/>
      </c>
      <c r="B146" s="73" t="n"/>
      <c r="C146" s="73" t="n"/>
      <c r="D146" s="74" t="n"/>
      <c r="E146" s="74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2">
        <f>IF(D146="","",SUM(F146:N146))</f>
        <v/>
      </c>
      <c r="P146" s="76">
        <f>IF(D146="","",(F146+G146+H146)*T146+I146*U146+(J146+K146+L146+M146+N146)*V146)</f>
        <v/>
      </c>
      <c r="Q146" s="74" t="n"/>
      <c r="R146" s="77">
        <f>IF(OR(D146="",O146=0),"","🥮 *NUESTRO ALFAJOR*"&amp;CHAR(10)&amp;"Remito N° "&amp;A146&amp;CHAR(10)&amp;"Fecha entrega: "&amp;TEXT(C146,"DD/MM/YYYY")&amp;CHAR(10)&amp;"Cliente: "&amp;D146&amp;IF(E146&lt;&gt;"",", "&amp;E146,"")&amp;CHAR(10)&amp;"................................."&amp;CHAR(10)&amp;IF(F146&gt;0,"Alfajor Maicena x7: "&amp;F146&amp;" pack. x $"&amp;TEXT($T146,"#,##0")&amp;" = $"&amp;TEXT(F146*$T146,"#,##0")&amp;CHAR(10),"")&amp;IF(G146&gt;0,"Alfajor Frutal x7: "&amp;G146&amp;" pack. x $"&amp;TEXT($T146,"#,##0")&amp;" = $"&amp;TEXT(G146*$T146,"#,##0")&amp;CHAR(10),"")&amp;IF(H146&gt;0,"Alfajor Santafesino x7: "&amp;H146&amp;" pack. x $"&amp;TEXT($T146,"#,##0")&amp;" = $"&amp;TEXT(H146*$T146,"#,##0")&amp;CHAR(10),"")&amp;IF(I146&gt;0,"Alfajor Maicena x14: "&amp;I146&amp;" pack. x $"&amp;TEXT($U146,"#,##0")&amp;" = $"&amp;TEXT(I146*$U146,"#,##0")&amp;CHAR(10),"")&amp;IF(J146&gt;0,"Pepas DDL: "&amp;J146&amp;" band. x $"&amp;TEXT($V146,"#,##0")&amp;" = $"&amp;TEXT(J146*$V146,"#,##0")&amp;CHAR(10),"")&amp;IF(K146&gt;0,"Pepas Membrillo: "&amp;K146&amp;" band. x $"&amp;TEXT($V146,"#,##0")&amp;" = $"&amp;TEXT(K146*$V146,"#,##0")&amp;CHAR(10),"")&amp;IF(L146&gt;0,"Pepas Arándano: "&amp;L146&amp;" band. x $"&amp;TEXT($V146,"#,##0")&amp;" = $"&amp;TEXT(L146*$V146,"#,##0")&amp;CHAR(10),"")&amp;IF(M146&gt;0,"Pepas Batata: "&amp;M146&amp;" band. x $"&amp;TEXT($V146,"#,##0")&amp;" = $"&amp;TEXT(M146*$V146,"#,##0")&amp;CHAR(10),"")&amp;IF(N146&gt;0,"Pepas Frutos del Bosque: "&amp;N146&amp;" band. x $"&amp;TEXT($V146,"#,##0")&amp;" = $"&amp;TEXT(N146*$V146,"#,##0")&amp;CHAR(10),"")&amp;"................................."&amp;CHAR(10)&amp;"*TOTAL: $"&amp;TEXT(P146,"#,##0")&amp;"*"&amp;CHAR(10)&amp;CHAR(10)&amp;"¡Gracias por tu pedido! 🙏")</f>
        <v/>
      </c>
      <c r="T146" s="78">
        <f>IF(C146="",Config!$B$5,IF(C146&gt;=Config!$B$2,Config!$C$5,Config!$B$5))</f>
        <v/>
      </c>
      <c r="U146" s="78">
        <f>IF(C146="",Config!$B$8,IF(C146&gt;=Config!$B$2,Config!$C$8,Config!$B$8))</f>
        <v/>
      </c>
      <c r="V146" s="78">
        <f>IF(C146="",Config!$B$9,IF(C146&gt;=Config!$B$2,Config!$C$9,Config!$B$9))</f>
        <v/>
      </c>
    </row>
    <row r="147" ht="60" customHeight="1" s="55">
      <c r="A147" s="72">
        <f>IF(D147="","",ROW()-4)</f>
        <v/>
      </c>
      <c r="B147" s="73" t="n"/>
      <c r="C147" s="73" t="n"/>
      <c r="D147" s="74" t="n"/>
      <c r="E147" s="74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2">
        <f>IF(D147="","",SUM(F147:N147))</f>
        <v/>
      </c>
      <c r="P147" s="76">
        <f>IF(D147="","",(F147+G147+H147)*T147+I147*U147+(J147+K147+L147+M147+N147)*V147)</f>
        <v/>
      </c>
      <c r="Q147" s="74" t="n"/>
      <c r="R147" s="77">
        <f>IF(OR(D147="",O147=0),"","🥮 *NUESTRO ALFAJOR*"&amp;CHAR(10)&amp;"Remito N° "&amp;A147&amp;CHAR(10)&amp;"Fecha entrega: "&amp;TEXT(C147,"DD/MM/YYYY")&amp;CHAR(10)&amp;"Cliente: "&amp;D147&amp;IF(E147&lt;&gt;"",", "&amp;E147,"")&amp;CHAR(10)&amp;"................................."&amp;CHAR(10)&amp;IF(F147&gt;0,"Alfajor Maicena x7: "&amp;F147&amp;" pack. x $"&amp;TEXT($T147,"#,##0")&amp;" = $"&amp;TEXT(F147*$T147,"#,##0")&amp;CHAR(10),"")&amp;IF(G147&gt;0,"Alfajor Frutal x7: "&amp;G147&amp;" pack. x $"&amp;TEXT($T147,"#,##0")&amp;" = $"&amp;TEXT(G147*$T147,"#,##0")&amp;CHAR(10),"")&amp;IF(H147&gt;0,"Alfajor Santafesino x7: "&amp;H147&amp;" pack. x $"&amp;TEXT($T147,"#,##0")&amp;" = $"&amp;TEXT(H147*$T147,"#,##0")&amp;CHAR(10),"")&amp;IF(I147&gt;0,"Alfajor Maicena x14: "&amp;I147&amp;" pack. x $"&amp;TEXT($U147,"#,##0")&amp;" = $"&amp;TEXT(I147*$U147,"#,##0")&amp;CHAR(10),"")&amp;IF(J147&gt;0,"Pepas DDL: "&amp;J147&amp;" band. x $"&amp;TEXT($V147,"#,##0")&amp;" = $"&amp;TEXT(J147*$V147,"#,##0")&amp;CHAR(10),"")&amp;IF(K147&gt;0,"Pepas Membrillo: "&amp;K147&amp;" band. x $"&amp;TEXT($V147,"#,##0")&amp;" = $"&amp;TEXT(K147*$V147,"#,##0")&amp;CHAR(10),"")&amp;IF(L147&gt;0,"Pepas Arándano: "&amp;L147&amp;" band. x $"&amp;TEXT($V147,"#,##0")&amp;" = $"&amp;TEXT(L147*$V147,"#,##0")&amp;CHAR(10),"")&amp;IF(M147&gt;0,"Pepas Batata: "&amp;M147&amp;" band. x $"&amp;TEXT($V147,"#,##0")&amp;" = $"&amp;TEXT(M147*$V147,"#,##0")&amp;CHAR(10),"")&amp;IF(N147&gt;0,"Pepas Frutos del Bosque: "&amp;N147&amp;" band. x $"&amp;TEXT($V147,"#,##0")&amp;" = $"&amp;TEXT(N147*$V147,"#,##0")&amp;CHAR(10),"")&amp;"................................."&amp;CHAR(10)&amp;"*TOTAL: $"&amp;TEXT(P147,"#,##0")&amp;"*"&amp;CHAR(10)&amp;CHAR(10)&amp;"¡Gracias por tu pedido! 🙏")</f>
        <v/>
      </c>
      <c r="T147" s="78">
        <f>IF(C147="",Config!$B$5,IF(C147&gt;=Config!$B$2,Config!$C$5,Config!$B$5))</f>
        <v/>
      </c>
      <c r="U147" s="78">
        <f>IF(C147="",Config!$B$8,IF(C147&gt;=Config!$B$2,Config!$C$8,Config!$B$8))</f>
        <v/>
      </c>
      <c r="V147" s="78">
        <f>IF(C147="",Config!$B$9,IF(C147&gt;=Config!$B$2,Config!$C$9,Config!$B$9))</f>
        <v/>
      </c>
    </row>
    <row r="148" ht="60" customHeight="1" s="55">
      <c r="A148" s="72">
        <f>IF(D148="","",ROW()-4)</f>
        <v/>
      </c>
      <c r="B148" s="73" t="n"/>
      <c r="C148" s="73" t="n"/>
      <c r="D148" s="74" t="n"/>
      <c r="E148" s="74" t="n"/>
      <c r="F148" s="75" t="n"/>
      <c r="G148" s="75" t="n"/>
      <c r="H148" s="75" t="n"/>
      <c r="I148" s="75" t="n"/>
      <c r="J148" s="75" t="n"/>
      <c r="K148" s="75" t="n"/>
      <c r="L148" s="75" t="n"/>
      <c r="M148" s="75" t="n"/>
      <c r="N148" s="75" t="n"/>
      <c r="O148" s="72">
        <f>IF(D148="","",SUM(F148:N148))</f>
        <v/>
      </c>
      <c r="P148" s="76">
        <f>IF(D148="","",(F148+G148+H148)*T148+I148*U148+(J148+K148+L148+M148+N148)*V148)</f>
        <v/>
      </c>
      <c r="Q148" s="74" t="n"/>
      <c r="R148" s="77">
        <f>IF(OR(D148="",O148=0),"","🥮 *NUESTRO ALFAJOR*"&amp;CHAR(10)&amp;"Remito N° "&amp;A148&amp;CHAR(10)&amp;"Fecha entrega: "&amp;TEXT(C148,"DD/MM/YYYY")&amp;CHAR(10)&amp;"Cliente: "&amp;D148&amp;IF(E148&lt;&gt;"",", "&amp;E148,"")&amp;CHAR(10)&amp;"................................."&amp;CHAR(10)&amp;IF(F148&gt;0,"Alfajor Maicena x7: "&amp;F148&amp;" pack. x $"&amp;TEXT($T148,"#,##0")&amp;" = $"&amp;TEXT(F148*$T148,"#,##0")&amp;CHAR(10),"")&amp;IF(G148&gt;0,"Alfajor Frutal x7: "&amp;G148&amp;" pack. x $"&amp;TEXT($T148,"#,##0")&amp;" = $"&amp;TEXT(G148*$T148,"#,##0")&amp;CHAR(10),"")&amp;IF(H148&gt;0,"Alfajor Santafesino x7: "&amp;H148&amp;" pack. x $"&amp;TEXT($T148,"#,##0")&amp;" = $"&amp;TEXT(H148*$T148,"#,##0")&amp;CHAR(10),"")&amp;IF(I148&gt;0,"Alfajor Maicena x14: "&amp;I148&amp;" pack. x $"&amp;TEXT($U148,"#,##0")&amp;" = $"&amp;TEXT(I148*$U148,"#,##0")&amp;CHAR(10),"")&amp;IF(J148&gt;0,"Pepas DDL: "&amp;J148&amp;" band. x $"&amp;TEXT($V148,"#,##0")&amp;" = $"&amp;TEXT(J148*$V148,"#,##0")&amp;CHAR(10),"")&amp;IF(K148&gt;0,"Pepas Membrillo: "&amp;K148&amp;" band. x $"&amp;TEXT($V148,"#,##0")&amp;" = $"&amp;TEXT(K148*$V148,"#,##0")&amp;CHAR(10),"")&amp;IF(L148&gt;0,"Pepas Arándano: "&amp;L148&amp;" band. x $"&amp;TEXT($V148,"#,##0")&amp;" = $"&amp;TEXT(L148*$V148,"#,##0")&amp;CHAR(10),"")&amp;IF(M148&gt;0,"Pepas Batata: "&amp;M148&amp;" band. x $"&amp;TEXT($V148,"#,##0")&amp;" = $"&amp;TEXT(M148*$V148,"#,##0")&amp;CHAR(10),"")&amp;IF(N148&gt;0,"Pepas Frutos del Bosque: "&amp;N148&amp;" band. x $"&amp;TEXT($V148,"#,##0")&amp;" = $"&amp;TEXT(N148*$V148,"#,##0")&amp;CHAR(10),"")&amp;"................................."&amp;CHAR(10)&amp;"*TOTAL: $"&amp;TEXT(P148,"#,##0")&amp;"*"&amp;CHAR(10)&amp;CHAR(10)&amp;"¡Gracias por tu pedido! 🙏")</f>
        <v/>
      </c>
      <c r="T148" s="78">
        <f>IF(C148="",Config!$B$5,IF(C148&gt;=Config!$B$2,Config!$C$5,Config!$B$5))</f>
        <v/>
      </c>
      <c r="U148" s="78">
        <f>IF(C148="",Config!$B$8,IF(C148&gt;=Config!$B$2,Config!$C$8,Config!$B$8))</f>
        <v/>
      </c>
      <c r="V148" s="78">
        <f>IF(C148="",Config!$B$9,IF(C148&gt;=Config!$B$2,Config!$C$9,Config!$B$9))</f>
        <v/>
      </c>
    </row>
    <row r="149" ht="60" customHeight="1" s="55">
      <c r="A149" s="72">
        <f>IF(D149="","",ROW()-4)</f>
        <v/>
      </c>
      <c r="B149" s="73" t="n"/>
      <c r="C149" s="73" t="n"/>
      <c r="D149" s="74" t="n"/>
      <c r="E149" s="74" t="n"/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2">
        <f>IF(D149="","",SUM(F149:N149))</f>
        <v/>
      </c>
      <c r="P149" s="76">
        <f>IF(D149="","",(F149+G149+H149)*T149+I149*U149+(J149+K149+L149+M149+N149)*V149)</f>
        <v/>
      </c>
      <c r="Q149" s="74" t="n"/>
      <c r="R149" s="77">
        <f>IF(OR(D149="",O149=0),"","🥮 *NUESTRO ALFAJOR*"&amp;CHAR(10)&amp;"Remito N° "&amp;A149&amp;CHAR(10)&amp;"Fecha entrega: "&amp;TEXT(C149,"DD/MM/YYYY")&amp;CHAR(10)&amp;"Cliente: "&amp;D149&amp;IF(E149&lt;&gt;"",", "&amp;E149,"")&amp;CHAR(10)&amp;"................................."&amp;CHAR(10)&amp;IF(F149&gt;0,"Alfajor Maicena x7: "&amp;F149&amp;" pack. x $"&amp;TEXT($T149,"#,##0")&amp;" = $"&amp;TEXT(F149*$T149,"#,##0")&amp;CHAR(10),"")&amp;IF(G149&gt;0,"Alfajor Frutal x7: "&amp;G149&amp;" pack. x $"&amp;TEXT($T149,"#,##0")&amp;" = $"&amp;TEXT(G149*$T149,"#,##0")&amp;CHAR(10),"")&amp;IF(H149&gt;0,"Alfajor Santafesino x7: "&amp;H149&amp;" pack. x $"&amp;TEXT($T149,"#,##0")&amp;" = $"&amp;TEXT(H149*$T149,"#,##0")&amp;CHAR(10),"")&amp;IF(I149&gt;0,"Alfajor Maicena x14: "&amp;I149&amp;" pack. x $"&amp;TEXT($U149,"#,##0")&amp;" = $"&amp;TEXT(I149*$U149,"#,##0")&amp;CHAR(10),"")&amp;IF(J149&gt;0,"Pepas DDL: "&amp;J149&amp;" band. x $"&amp;TEXT($V149,"#,##0")&amp;" = $"&amp;TEXT(J149*$V149,"#,##0")&amp;CHAR(10),"")&amp;IF(K149&gt;0,"Pepas Membrillo: "&amp;K149&amp;" band. x $"&amp;TEXT($V149,"#,##0")&amp;" = $"&amp;TEXT(K149*$V149,"#,##0")&amp;CHAR(10),"")&amp;IF(L149&gt;0,"Pepas Arándano: "&amp;L149&amp;" band. x $"&amp;TEXT($V149,"#,##0")&amp;" = $"&amp;TEXT(L149*$V149,"#,##0")&amp;CHAR(10),"")&amp;IF(M149&gt;0,"Pepas Batata: "&amp;M149&amp;" band. x $"&amp;TEXT($V149,"#,##0")&amp;" = $"&amp;TEXT(M149*$V149,"#,##0")&amp;CHAR(10),"")&amp;IF(N149&gt;0,"Pepas Frutos del Bosque: "&amp;N149&amp;" band. x $"&amp;TEXT($V149,"#,##0")&amp;" = $"&amp;TEXT(N149*$V149,"#,##0")&amp;CHAR(10),"")&amp;"................................."&amp;CHAR(10)&amp;"*TOTAL: $"&amp;TEXT(P149,"#,##0")&amp;"*"&amp;CHAR(10)&amp;CHAR(10)&amp;"¡Gracias por tu pedido! 🙏")</f>
        <v/>
      </c>
      <c r="T149" s="78">
        <f>IF(C149="",Config!$B$5,IF(C149&gt;=Config!$B$2,Config!$C$5,Config!$B$5))</f>
        <v/>
      </c>
      <c r="U149" s="78">
        <f>IF(C149="",Config!$B$8,IF(C149&gt;=Config!$B$2,Config!$C$8,Config!$B$8))</f>
        <v/>
      </c>
      <c r="V149" s="78">
        <f>IF(C149="",Config!$B$9,IF(C149&gt;=Config!$B$2,Config!$C$9,Config!$B$9))</f>
        <v/>
      </c>
    </row>
    <row r="150" ht="60" customHeight="1" s="55">
      <c r="A150" s="72">
        <f>IF(D150="","",ROW()-4)</f>
        <v/>
      </c>
      <c r="B150" s="73" t="n"/>
      <c r="C150" s="73" t="n"/>
      <c r="D150" s="74" t="n"/>
      <c r="E150" s="74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2">
        <f>IF(D150="","",SUM(F150:N150))</f>
        <v/>
      </c>
      <c r="P150" s="76">
        <f>IF(D150="","",(F150+G150+H150)*T150+I150*U150+(J150+K150+L150+M150+N150)*V150)</f>
        <v/>
      </c>
      <c r="Q150" s="74" t="n"/>
      <c r="R150" s="77">
        <f>IF(OR(D150="",O150=0),"","🥮 *NUESTRO ALFAJOR*"&amp;CHAR(10)&amp;"Remito N° "&amp;A150&amp;CHAR(10)&amp;"Fecha entrega: "&amp;TEXT(C150,"DD/MM/YYYY")&amp;CHAR(10)&amp;"Cliente: "&amp;D150&amp;IF(E150&lt;&gt;"",", "&amp;E150,"")&amp;CHAR(10)&amp;"................................."&amp;CHAR(10)&amp;IF(F150&gt;0,"Alfajor Maicena x7: "&amp;F150&amp;" pack. x $"&amp;TEXT($T150,"#,##0")&amp;" = $"&amp;TEXT(F150*$T150,"#,##0")&amp;CHAR(10),"")&amp;IF(G150&gt;0,"Alfajor Frutal x7: "&amp;G150&amp;" pack. x $"&amp;TEXT($T150,"#,##0")&amp;" = $"&amp;TEXT(G150*$T150,"#,##0")&amp;CHAR(10),"")&amp;IF(H150&gt;0,"Alfajor Santafesino x7: "&amp;H150&amp;" pack. x $"&amp;TEXT($T150,"#,##0")&amp;" = $"&amp;TEXT(H150*$T150,"#,##0")&amp;CHAR(10),"")&amp;IF(I150&gt;0,"Alfajor Maicena x14: "&amp;I150&amp;" pack. x $"&amp;TEXT($U150,"#,##0")&amp;" = $"&amp;TEXT(I150*$U150,"#,##0")&amp;CHAR(10),"")&amp;IF(J150&gt;0,"Pepas DDL: "&amp;J150&amp;" band. x $"&amp;TEXT($V150,"#,##0")&amp;" = $"&amp;TEXT(J150*$V150,"#,##0")&amp;CHAR(10),"")&amp;IF(K150&gt;0,"Pepas Membrillo: "&amp;K150&amp;" band. x $"&amp;TEXT($V150,"#,##0")&amp;" = $"&amp;TEXT(K150*$V150,"#,##0")&amp;CHAR(10),"")&amp;IF(L150&gt;0,"Pepas Arándano: "&amp;L150&amp;" band. x $"&amp;TEXT($V150,"#,##0")&amp;" = $"&amp;TEXT(L150*$V150,"#,##0")&amp;CHAR(10),"")&amp;IF(M150&gt;0,"Pepas Batata: "&amp;M150&amp;" band. x $"&amp;TEXT($V150,"#,##0")&amp;" = $"&amp;TEXT(M150*$V150,"#,##0")&amp;CHAR(10),"")&amp;IF(N150&gt;0,"Pepas Frutos del Bosque: "&amp;N150&amp;" band. x $"&amp;TEXT($V150,"#,##0")&amp;" = $"&amp;TEXT(N150*$V150,"#,##0")&amp;CHAR(10),"")&amp;"................................."&amp;CHAR(10)&amp;"*TOTAL: $"&amp;TEXT(P150,"#,##0")&amp;"*"&amp;CHAR(10)&amp;CHAR(10)&amp;"¡Gracias por tu pedido! 🙏")</f>
        <v/>
      </c>
      <c r="T150" s="78">
        <f>IF(C150="",Config!$B$5,IF(C150&gt;=Config!$B$2,Config!$C$5,Config!$B$5))</f>
        <v/>
      </c>
      <c r="U150" s="78">
        <f>IF(C150="",Config!$B$8,IF(C150&gt;=Config!$B$2,Config!$C$8,Config!$B$8))</f>
        <v/>
      </c>
      <c r="V150" s="78">
        <f>IF(C150="",Config!$B$9,IF(C150&gt;=Config!$B$2,Config!$C$9,Config!$B$9))</f>
        <v/>
      </c>
    </row>
    <row r="151" ht="60" customHeight="1" s="55">
      <c r="A151" s="72">
        <f>IF(D151="","",ROW()-4)</f>
        <v/>
      </c>
      <c r="B151" s="73" t="n"/>
      <c r="C151" s="73" t="n"/>
      <c r="D151" s="74" t="n"/>
      <c r="E151" s="74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2">
        <f>IF(D151="","",SUM(F151:N151))</f>
        <v/>
      </c>
      <c r="P151" s="76">
        <f>IF(D151="","",(F151+G151+H151)*T151+I151*U151+(J151+K151+L151+M151+N151)*V151)</f>
        <v/>
      </c>
      <c r="Q151" s="74" t="n"/>
      <c r="R151" s="77">
        <f>IF(OR(D151="",O151=0),"","🥮 *NUESTRO ALFAJOR*"&amp;CHAR(10)&amp;"Remito N° "&amp;A151&amp;CHAR(10)&amp;"Fecha entrega: "&amp;TEXT(C151,"DD/MM/YYYY")&amp;CHAR(10)&amp;"Cliente: "&amp;D151&amp;IF(E151&lt;&gt;"",", "&amp;E151,"")&amp;CHAR(10)&amp;"................................."&amp;CHAR(10)&amp;IF(F151&gt;0,"Alfajor Maicena x7: "&amp;F151&amp;" pack. x $"&amp;TEXT($T151,"#,##0")&amp;" = $"&amp;TEXT(F151*$T151,"#,##0")&amp;CHAR(10),"")&amp;IF(G151&gt;0,"Alfajor Frutal x7: "&amp;G151&amp;" pack. x $"&amp;TEXT($T151,"#,##0")&amp;" = $"&amp;TEXT(G151*$T151,"#,##0")&amp;CHAR(10),"")&amp;IF(H151&gt;0,"Alfajor Santafesino x7: "&amp;H151&amp;" pack. x $"&amp;TEXT($T151,"#,##0")&amp;" = $"&amp;TEXT(H151*$T151,"#,##0")&amp;CHAR(10),"")&amp;IF(I151&gt;0,"Alfajor Maicena x14: "&amp;I151&amp;" pack. x $"&amp;TEXT($U151,"#,##0")&amp;" = $"&amp;TEXT(I151*$U151,"#,##0")&amp;CHAR(10),"")&amp;IF(J151&gt;0,"Pepas DDL: "&amp;J151&amp;" band. x $"&amp;TEXT($V151,"#,##0")&amp;" = $"&amp;TEXT(J151*$V151,"#,##0")&amp;CHAR(10),"")&amp;IF(K151&gt;0,"Pepas Membrillo: "&amp;K151&amp;" band. x $"&amp;TEXT($V151,"#,##0")&amp;" = $"&amp;TEXT(K151*$V151,"#,##0")&amp;CHAR(10),"")&amp;IF(L151&gt;0,"Pepas Arándano: "&amp;L151&amp;" band. x $"&amp;TEXT($V151,"#,##0")&amp;" = $"&amp;TEXT(L151*$V151,"#,##0")&amp;CHAR(10),"")&amp;IF(M151&gt;0,"Pepas Batata: "&amp;M151&amp;" band. x $"&amp;TEXT($V151,"#,##0")&amp;" = $"&amp;TEXT(M151*$V151,"#,##0")&amp;CHAR(10),"")&amp;IF(N151&gt;0,"Pepas Frutos del Bosque: "&amp;N151&amp;" band. x $"&amp;TEXT($V151,"#,##0")&amp;" = $"&amp;TEXT(N151*$V151,"#,##0")&amp;CHAR(10),"")&amp;"................................."&amp;CHAR(10)&amp;"*TOTAL: $"&amp;TEXT(P151,"#,##0")&amp;"*"&amp;CHAR(10)&amp;CHAR(10)&amp;"¡Gracias por tu pedido! 🙏")</f>
        <v/>
      </c>
      <c r="T151" s="78">
        <f>IF(C151="",Config!$B$5,IF(C151&gt;=Config!$B$2,Config!$C$5,Config!$B$5))</f>
        <v/>
      </c>
      <c r="U151" s="78">
        <f>IF(C151="",Config!$B$8,IF(C151&gt;=Config!$B$2,Config!$C$8,Config!$B$8))</f>
        <v/>
      </c>
      <c r="V151" s="78">
        <f>IF(C151="",Config!$B$9,IF(C151&gt;=Config!$B$2,Config!$C$9,Config!$B$9))</f>
        <v/>
      </c>
    </row>
    <row r="152" ht="60" customHeight="1" s="55">
      <c r="A152" s="72">
        <f>IF(D152="","",ROW()-4)</f>
        <v/>
      </c>
      <c r="B152" s="73" t="n"/>
      <c r="C152" s="73" t="n"/>
      <c r="D152" s="74" t="n"/>
      <c r="E152" s="74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2">
        <f>IF(D152="","",SUM(F152:N152))</f>
        <v/>
      </c>
      <c r="P152" s="76">
        <f>IF(D152="","",(F152+G152+H152)*T152+I152*U152+(J152+K152+L152+M152+N152)*V152)</f>
        <v/>
      </c>
      <c r="Q152" s="74" t="n"/>
      <c r="R152" s="77">
        <f>IF(OR(D152="",O152=0),"","🥮 *NUESTRO ALFAJOR*"&amp;CHAR(10)&amp;"Remito N° "&amp;A152&amp;CHAR(10)&amp;"Fecha entrega: "&amp;TEXT(C152,"DD/MM/YYYY")&amp;CHAR(10)&amp;"Cliente: "&amp;D152&amp;IF(E152&lt;&gt;"",", "&amp;E152,"")&amp;CHAR(10)&amp;"................................."&amp;CHAR(10)&amp;IF(F152&gt;0,"Alfajor Maicena x7: "&amp;F152&amp;" pack. x $"&amp;TEXT($T152,"#,##0")&amp;" = $"&amp;TEXT(F152*$T152,"#,##0")&amp;CHAR(10),"")&amp;IF(G152&gt;0,"Alfajor Frutal x7: "&amp;G152&amp;" pack. x $"&amp;TEXT($T152,"#,##0")&amp;" = $"&amp;TEXT(G152*$T152,"#,##0")&amp;CHAR(10),"")&amp;IF(H152&gt;0,"Alfajor Santafesino x7: "&amp;H152&amp;" pack. x $"&amp;TEXT($T152,"#,##0")&amp;" = $"&amp;TEXT(H152*$T152,"#,##0")&amp;CHAR(10),"")&amp;IF(I152&gt;0,"Alfajor Maicena x14: "&amp;I152&amp;" pack. x $"&amp;TEXT($U152,"#,##0")&amp;" = $"&amp;TEXT(I152*$U152,"#,##0")&amp;CHAR(10),"")&amp;IF(J152&gt;0,"Pepas DDL: "&amp;J152&amp;" band. x $"&amp;TEXT($V152,"#,##0")&amp;" = $"&amp;TEXT(J152*$V152,"#,##0")&amp;CHAR(10),"")&amp;IF(K152&gt;0,"Pepas Membrillo: "&amp;K152&amp;" band. x $"&amp;TEXT($V152,"#,##0")&amp;" = $"&amp;TEXT(K152*$V152,"#,##0")&amp;CHAR(10),"")&amp;IF(L152&gt;0,"Pepas Arándano: "&amp;L152&amp;" band. x $"&amp;TEXT($V152,"#,##0")&amp;" = $"&amp;TEXT(L152*$V152,"#,##0")&amp;CHAR(10),"")&amp;IF(M152&gt;0,"Pepas Batata: "&amp;M152&amp;" band. x $"&amp;TEXT($V152,"#,##0")&amp;" = $"&amp;TEXT(M152*$V152,"#,##0")&amp;CHAR(10),"")&amp;IF(N152&gt;0,"Pepas Frutos del Bosque: "&amp;N152&amp;" band. x $"&amp;TEXT($V152,"#,##0")&amp;" = $"&amp;TEXT(N152*$V152,"#,##0")&amp;CHAR(10),"")&amp;"................................."&amp;CHAR(10)&amp;"*TOTAL: $"&amp;TEXT(P152,"#,##0")&amp;"*"&amp;CHAR(10)&amp;CHAR(10)&amp;"¡Gracias por tu pedido! 🙏")</f>
        <v/>
      </c>
      <c r="T152" s="78">
        <f>IF(C152="",Config!$B$5,IF(C152&gt;=Config!$B$2,Config!$C$5,Config!$B$5))</f>
        <v/>
      </c>
      <c r="U152" s="78">
        <f>IF(C152="",Config!$B$8,IF(C152&gt;=Config!$B$2,Config!$C$8,Config!$B$8))</f>
        <v/>
      </c>
      <c r="V152" s="78">
        <f>IF(C152="",Config!$B$9,IF(C152&gt;=Config!$B$2,Config!$C$9,Config!$B$9))</f>
        <v/>
      </c>
    </row>
    <row r="153" ht="60" customHeight="1" s="55">
      <c r="A153" s="72">
        <f>IF(D153="","",ROW()-4)</f>
        <v/>
      </c>
      <c r="B153" s="73" t="n"/>
      <c r="C153" s="73" t="n"/>
      <c r="D153" s="74" t="n"/>
      <c r="E153" s="74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2">
        <f>IF(D153="","",SUM(F153:N153))</f>
        <v/>
      </c>
      <c r="P153" s="76">
        <f>IF(D153="","",(F153+G153+H153)*T153+I153*U153+(J153+K153+L153+M153+N153)*V153)</f>
        <v/>
      </c>
      <c r="Q153" s="74" t="n"/>
      <c r="R153" s="77">
        <f>IF(OR(D153="",O153=0),"","🥮 *NUESTRO ALFAJOR*"&amp;CHAR(10)&amp;"Remito N° "&amp;A153&amp;CHAR(10)&amp;"Fecha entrega: "&amp;TEXT(C153,"DD/MM/YYYY")&amp;CHAR(10)&amp;"Cliente: "&amp;D153&amp;IF(E153&lt;&gt;"",", "&amp;E153,"")&amp;CHAR(10)&amp;"................................."&amp;CHAR(10)&amp;IF(F153&gt;0,"Alfajor Maicena x7: "&amp;F153&amp;" pack. x $"&amp;TEXT($T153,"#,##0")&amp;" = $"&amp;TEXT(F153*$T153,"#,##0")&amp;CHAR(10),"")&amp;IF(G153&gt;0,"Alfajor Frutal x7: "&amp;G153&amp;" pack. x $"&amp;TEXT($T153,"#,##0")&amp;" = $"&amp;TEXT(G153*$T153,"#,##0")&amp;CHAR(10),"")&amp;IF(H153&gt;0,"Alfajor Santafesino x7: "&amp;H153&amp;" pack. x $"&amp;TEXT($T153,"#,##0")&amp;" = $"&amp;TEXT(H153*$T153,"#,##0")&amp;CHAR(10),"")&amp;IF(I153&gt;0,"Alfajor Maicena x14: "&amp;I153&amp;" pack. x $"&amp;TEXT($U153,"#,##0")&amp;" = $"&amp;TEXT(I153*$U153,"#,##0")&amp;CHAR(10),"")&amp;IF(J153&gt;0,"Pepas DDL: "&amp;J153&amp;" band. x $"&amp;TEXT($V153,"#,##0")&amp;" = $"&amp;TEXT(J153*$V153,"#,##0")&amp;CHAR(10),"")&amp;IF(K153&gt;0,"Pepas Membrillo: "&amp;K153&amp;" band. x $"&amp;TEXT($V153,"#,##0")&amp;" = $"&amp;TEXT(K153*$V153,"#,##0")&amp;CHAR(10),"")&amp;IF(L153&gt;0,"Pepas Arándano: "&amp;L153&amp;" band. x $"&amp;TEXT($V153,"#,##0")&amp;" = $"&amp;TEXT(L153*$V153,"#,##0")&amp;CHAR(10),"")&amp;IF(M153&gt;0,"Pepas Batata: "&amp;M153&amp;" band. x $"&amp;TEXT($V153,"#,##0")&amp;" = $"&amp;TEXT(M153*$V153,"#,##0")&amp;CHAR(10),"")&amp;IF(N153&gt;0,"Pepas Frutos del Bosque: "&amp;N153&amp;" band. x $"&amp;TEXT($V153,"#,##0")&amp;" = $"&amp;TEXT(N153*$V153,"#,##0")&amp;CHAR(10),"")&amp;"................................."&amp;CHAR(10)&amp;"*TOTAL: $"&amp;TEXT(P153,"#,##0")&amp;"*"&amp;CHAR(10)&amp;CHAR(10)&amp;"¡Gracias por tu pedido! 🙏")</f>
        <v/>
      </c>
      <c r="T153" s="78">
        <f>IF(C153="",Config!$B$5,IF(C153&gt;=Config!$B$2,Config!$C$5,Config!$B$5))</f>
        <v/>
      </c>
      <c r="U153" s="78">
        <f>IF(C153="",Config!$B$8,IF(C153&gt;=Config!$B$2,Config!$C$8,Config!$B$8))</f>
        <v/>
      </c>
      <c r="V153" s="78">
        <f>IF(C153="",Config!$B$9,IF(C153&gt;=Config!$B$2,Config!$C$9,Config!$B$9))</f>
        <v/>
      </c>
    </row>
    <row r="154" ht="60" customHeight="1" s="55">
      <c r="A154" s="72">
        <f>IF(D154="","",ROW()-4)</f>
        <v/>
      </c>
      <c r="B154" s="73" t="n"/>
      <c r="C154" s="73" t="n"/>
      <c r="D154" s="74" t="n"/>
      <c r="E154" s="74" t="n"/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2">
        <f>IF(D154="","",SUM(F154:N154))</f>
        <v/>
      </c>
      <c r="P154" s="76">
        <f>IF(D154="","",(F154+G154+H154)*T154+I154*U154+(J154+K154+L154+M154+N154)*V154)</f>
        <v/>
      </c>
      <c r="Q154" s="74" t="n"/>
      <c r="R154" s="77">
        <f>IF(OR(D154="",O154=0),"","🥮 *NUESTRO ALFAJOR*"&amp;CHAR(10)&amp;"Remito N° "&amp;A154&amp;CHAR(10)&amp;"Fecha entrega: "&amp;TEXT(C154,"DD/MM/YYYY")&amp;CHAR(10)&amp;"Cliente: "&amp;D154&amp;IF(E154&lt;&gt;"",", "&amp;E154,"")&amp;CHAR(10)&amp;"................................."&amp;CHAR(10)&amp;IF(F154&gt;0,"Alfajor Maicena x7: "&amp;F154&amp;" pack. x $"&amp;TEXT($T154,"#,##0")&amp;" = $"&amp;TEXT(F154*$T154,"#,##0")&amp;CHAR(10),"")&amp;IF(G154&gt;0,"Alfajor Frutal x7: "&amp;G154&amp;" pack. x $"&amp;TEXT($T154,"#,##0")&amp;" = $"&amp;TEXT(G154*$T154,"#,##0")&amp;CHAR(10),"")&amp;IF(H154&gt;0,"Alfajor Santafesino x7: "&amp;H154&amp;" pack. x $"&amp;TEXT($T154,"#,##0")&amp;" = $"&amp;TEXT(H154*$T154,"#,##0")&amp;CHAR(10),"")&amp;IF(I154&gt;0,"Alfajor Maicena x14: "&amp;I154&amp;" pack. x $"&amp;TEXT($U154,"#,##0")&amp;" = $"&amp;TEXT(I154*$U154,"#,##0")&amp;CHAR(10),"")&amp;IF(J154&gt;0,"Pepas DDL: "&amp;J154&amp;" band. x $"&amp;TEXT($V154,"#,##0")&amp;" = $"&amp;TEXT(J154*$V154,"#,##0")&amp;CHAR(10),"")&amp;IF(K154&gt;0,"Pepas Membrillo: "&amp;K154&amp;" band. x $"&amp;TEXT($V154,"#,##0")&amp;" = $"&amp;TEXT(K154*$V154,"#,##0")&amp;CHAR(10),"")&amp;IF(L154&gt;0,"Pepas Arándano: "&amp;L154&amp;" band. x $"&amp;TEXT($V154,"#,##0")&amp;" = $"&amp;TEXT(L154*$V154,"#,##0")&amp;CHAR(10),"")&amp;IF(M154&gt;0,"Pepas Batata: "&amp;M154&amp;" band. x $"&amp;TEXT($V154,"#,##0")&amp;" = $"&amp;TEXT(M154*$V154,"#,##0")&amp;CHAR(10),"")&amp;IF(N154&gt;0,"Pepas Frutos del Bosque: "&amp;N154&amp;" band. x $"&amp;TEXT($V154,"#,##0")&amp;" = $"&amp;TEXT(N154*$V154,"#,##0")&amp;CHAR(10),"")&amp;"................................."&amp;CHAR(10)&amp;"*TOTAL: $"&amp;TEXT(P154,"#,##0")&amp;"*"&amp;CHAR(10)&amp;CHAR(10)&amp;"¡Gracias por tu pedido! 🙏")</f>
        <v/>
      </c>
      <c r="T154" s="78">
        <f>IF(C154="",Config!$B$5,IF(C154&gt;=Config!$B$2,Config!$C$5,Config!$B$5))</f>
        <v/>
      </c>
      <c r="U154" s="78">
        <f>IF(C154="",Config!$B$8,IF(C154&gt;=Config!$B$2,Config!$C$8,Config!$B$8))</f>
        <v/>
      </c>
      <c r="V154" s="78">
        <f>IF(C154="",Config!$B$9,IF(C154&gt;=Config!$B$2,Config!$C$9,Config!$B$9))</f>
        <v/>
      </c>
    </row>
    <row r="155" ht="60" customHeight="1" s="55">
      <c r="A155" s="72">
        <f>IF(D155="","",ROW()-4)</f>
        <v/>
      </c>
      <c r="B155" s="73" t="n"/>
      <c r="C155" s="73" t="n"/>
      <c r="D155" s="74" t="n"/>
      <c r="E155" s="74" t="n"/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2">
        <f>IF(D155="","",SUM(F155:N155))</f>
        <v/>
      </c>
      <c r="P155" s="76">
        <f>IF(D155="","",(F155+G155+H155)*T155+I155*U155+(J155+K155+L155+M155+N155)*V155)</f>
        <v/>
      </c>
      <c r="Q155" s="74" t="n"/>
      <c r="R155" s="77">
        <f>IF(OR(D155="",O155=0),"","🥮 *NUESTRO ALFAJOR*"&amp;CHAR(10)&amp;"Remito N° "&amp;A155&amp;CHAR(10)&amp;"Fecha entrega: "&amp;TEXT(C155,"DD/MM/YYYY")&amp;CHAR(10)&amp;"Cliente: "&amp;D155&amp;IF(E155&lt;&gt;"",", "&amp;E155,"")&amp;CHAR(10)&amp;"................................."&amp;CHAR(10)&amp;IF(F155&gt;0,"Alfajor Maicena x7: "&amp;F155&amp;" pack. x $"&amp;TEXT($T155,"#,##0")&amp;" = $"&amp;TEXT(F155*$T155,"#,##0")&amp;CHAR(10),"")&amp;IF(G155&gt;0,"Alfajor Frutal x7: "&amp;G155&amp;" pack. x $"&amp;TEXT($T155,"#,##0")&amp;" = $"&amp;TEXT(G155*$T155,"#,##0")&amp;CHAR(10),"")&amp;IF(H155&gt;0,"Alfajor Santafesino x7: "&amp;H155&amp;" pack. x $"&amp;TEXT($T155,"#,##0")&amp;" = $"&amp;TEXT(H155*$T155,"#,##0")&amp;CHAR(10),"")&amp;IF(I155&gt;0,"Alfajor Maicena x14: "&amp;I155&amp;" pack. x $"&amp;TEXT($U155,"#,##0")&amp;" = $"&amp;TEXT(I155*$U155,"#,##0")&amp;CHAR(10),"")&amp;IF(J155&gt;0,"Pepas DDL: "&amp;J155&amp;" band. x $"&amp;TEXT($V155,"#,##0")&amp;" = $"&amp;TEXT(J155*$V155,"#,##0")&amp;CHAR(10),"")&amp;IF(K155&gt;0,"Pepas Membrillo: "&amp;K155&amp;" band. x $"&amp;TEXT($V155,"#,##0")&amp;" = $"&amp;TEXT(K155*$V155,"#,##0")&amp;CHAR(10),"")&amp;IF(L155&gt;0,"Pepas Arándano: "&amp;L155&amp;" band. x $"&amp;TEXT($V155,"#,##0")&amp;" = $"&amp;TEXT(L155*$V155,"#,##0")&amp;CHAR(10),"")&amp;IF(M155&gt;0,"Pepas Batata: "&amp;M155&amp;" band. x $"&amp;TEXT($V155,"#,##0")&amp;" = $"&amp;TEXT(M155*$V155,"#,##0")&amp;CHAR(10),"")&amp;IF(N155&gt;0,"Pepas Frutos del Bosque: "&amp;N155&amp;" band. x $"&amp;TEXT($V155,"#,##0")&amp;" = $"&amp;TEXT(N155*$V155,"#,##0")&amp;CHAR(10),"")&amp;"................................."&amp;CHAR(10)&amp;"*TOTAL: $"&amp;TEXT(P155,"#,##0")&amp;"*"&amp;CHAR(10)&amp;CHAR(10)&amp;"¡Gracias por tu pedido! 🙏")</f>
        <v/>
      </c>
      <c r="T155" s="78">
        <f>IF(C155="",Config!$B$5,IF(C155&gt;=Config!$B$2,Config!$C$5,Config!$B$5))</f>
        <v/>
      </c>
      <c r="U155" s="78">
        <f>IF(C155="",Config!$B$8,IF(C155&gt;=Config!$B$2,Config!$C$8,Config!$B$8))</f>
        <v/>
      </c>
      <c r="V155" s="78">
        <f>IF(C155="",Config!$B$9,IF(C155&gt;=Config!$B$2,Config!$C$9,Config!$B$9))</f>
        <v/>
      </c>
    </row>
    <row r="156" ht="60" customHeight="1" s="55">
      <c r="A156" s="72">
        <f>IF(D156="","",ROW()-4)</f>
        <v/>
      </c>
      <c r="B156" s="73" t="n"/>
      <c r="C156" s="73" t="n"/>
      <c r="D156" s="74" t="n"/>
      <c r="E156" s="74" t="n"/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2">
        <f>IF(D156="","",SUM(F156:N156))</f>
        <v/>
      </c>
      <c r="P156" s="76">
        <f>IF(D156="","",(F156+G156+H156)*T156+I156*U156+(J156+K156+L156+M156+N156)*V156)</f>
        <v/>
      </c>
      <c r="Q156" s="74" t="n"/>
      <c r="R156" s="77">
        <f>IF(OR(D156="",O156=0),"","🥮 *NUESTRO ALFAJOR*"&amp;CHAR(10)&amp;"Remito N° "&amp;A156&amp;CHAR(10)&amp;"Fecha entrega: "&amp;TEXT(C156,"DD/MM/YYYY")&amp;CHAR(10)&amp;"Cliente: "&amp;D156&amp;IF(E156&lt;&gt;"",", "&amp;E156,"")&amp;CHAR(10)&amp;"................................."&amp;CHAR(10)&amp;IF(F156&gt;0,"Alfajor Maicena x7: "&amp;F156&amp;" pack. x $"&amp;TEXT($T156,"#,##0")&amp;" = $"&amp;TEXT(F156*$T156,"#,##0")&amp;CHAR(10),"")&amp;IF(G156&gt;0,"Alfajor Frutal x7: "&amp;G156&amp;" pack. x $"&amp;TEXT($T156,"#,##0")&amp;" = $"&amp;TEXT(G156*$T156,"#,##0")&amp;CHAR(10),"")&amp;IF(H156&gt;0,"Alfajor Santafesino x7: "&amp;H156&amp;" pack. x $"&amp;TEXT($T156,"#,##0")&amp;" = $"&amp;TEXT(H156*$T156,"#,##0")&amp;CHAR(10),"")&amp;IF(I156&gt;0,"Alfajor Maicena x14: "&amp;I156&amp;" pack. x $"&amp;TEXT($U156,"#,##0")&amp;" = $"&amp;TEXT(I156*$U156,"#,##0")&amp;CHAR(10),"")&amp;IF(J156&gt;0,"Pepas DDL: "&amp;J156&amp;" band. x $"&amp;TEXT($V156,"#,##0")&amp;" = $"&amp;TEXT(J156*$V156,"#,##0")&amp;CHAR(10),"")&amp;IF(K156&gt;0,"Pepas Membrillo: "&amp;K156&amp;" band. x $"&amp;TEXT($V156,"#,##0")&amp;" = $"&amp;TEXT(K156*$V156,"#,##0")&amp;CHAR(10),"")&amp;IF(L156&gt;0,"Pepas Arándano: "&amp;L156&amp;" band. x $"&amp;TEXT($V156,"#,##0")&amp;" = $"&amp;TEXT(L156*$V156,"#,##0")&amp;CHAR(10),"")&amp;IF(M156&gt;0,"Pepas Batata: "&amp;M156&amp;" band. x $"&amp;TEXT($V156,"#,##0")&amp;" = $"&amp;TEXT(M156*$V156,"#,##0")&amp;CHAR(10),"")&amp;IF(N156&gt;0,"Pepas Frutos del Bosque: "&amp;N156&amp;" band. x $"&amp;TEXT($V156,"#,##0")&amp;" = $"&amp;TEXT(N156*$V156,"#,##0")&amp;CHAR(10),"")&amp;"................................."&amp;CHAR(10)&amp;"*TOTAL: $"&amp;TEXT(P156,"#,##0")&amp;"*"&amp;CHAR(10)&amp;CHAR(10)&amp;"¡Gracias por tu pedido! 🙏")</f>
        <v/>
      </c>
      <c r="T156" s="78">
        <f>IF(C156="",Config!$B$5,IF(C156&gt;=Config!$B$2,Config!$C$5,Config!$B$5))</f>
        <v/>
      </c>
      <c r="U156" s="78">
        <f>IF(C156="",Config!$B$8,IF(C156&gt;=Config!$B$2,Config!$C$8,Config!$B$8))</f>
        <v/>
      </c>
      <c r="V156" s="78">
        <f>IF(C156="",Config!$B$9,IF(C156&gt;=Config!$B$2,Config!$C$9,Config!$B$9))</f>
        <v/>
      </c>
    </row>
    <row r="157" ht="60" customHeight="1" s="55">
      <c r="A157" s="72">
        <f>IF(D157="","",ROW()-4)</f>
        <v/>
      </c>
      <c r="B157" s="73" t="n"/>
      <c r="C157" s="73" t="n"/>
      <c r="D157" s="74" t="n"/>
      <c r="E157" s="74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2">
        <f>IF(D157="","",SUM(F157:N157))</f>
        <v/>
      </c>
      <c r="P157" s="76">
        <f>IF(D157="","",(F157+G157+H157)*T157+I157*U157+(J157+K157+L157+M157+N157)*V157)</f>
        <v/>
      </c>
      <c r="Q157" s="74" t="n"/>
      <c r="R157" s="77">
        <f>IF(OR(D157="",O157=0),"","🥮 *NUESTRO ALFAJOR*"&amp;CHAR(10)&amp;"Remito N° "&amp;A157&amp;CHAR(10)&amp;"Fecha entrega: "&amp;TEXT(C157,"DD/MM/YYYY")&amp;CHAR(10)&amp;"Cliente: "&amp;D157&amp;IF(E157&lt;&gt;"",", "&amp;E157,"")&amp;CHAR(10)&amp;"................................."&amp;CHAR(10)&amp;IF(F157&gt;0,"Alfajor Maicena x7: "&amp;F157&amp;" pack. x $"&amp;TEXT($T157,"#,##0")&amp;" = $"&amp;TEXT(F157*$T157,"#,##0")&amp;CHAR(10),"")&amp;IF(G157&gt;0,"Alfajor Frutal x7: "&amp;G157&amp;" pack. x $"&amp;TEXT($T157,"#,##0")&amp;" = $"&amp;TEXT(G157*$T157,"#,##0")&amp;CHAR(10),"")&amp;IF(H157&gt;0,"Alfajor Santafesino x7: "&amp;H157&amp;" pack. x $"&amp;TEXT($T157,"#,##0")&amp;" = $"&amp;TEXT(H157*$T157,"#,##0")&amp;CHAR(10),"")&amp;IF(I157&gt;0,"Alfajor Maicena x14: "&amp;I157&amp;" pack. x $"&amp;TEXT($U157,"#,##0")&amp;" = $"&amp;TEXT(I157*$U157,"#,##0")&amp;CHAR(10),"")&amp;IF(J157&gt;0,"Pepas DDL: "&amp;J157&amp;" band. x $"&amp;TEXT($V157,"#,##0")&amp;" = $"&amp;TEXT(J157*$V157,"#,##0")&amp;CHAR(10),"")&amp;IF(K157&gt;0,"Pepas Membrillo: "&amp;K157&amp;" band. x $"&amp;TEXT($V157,"#,##0")&amp;" = $"&amp;TEXT(K157*$V157,"#,##0")&amp;CHAR(10),"")&amp;IF(L157&gt;0,"Pepas Arándano: "&amp;L157&amp;" band. x $"&amp;TEXT($V157,"#,##0")&amp;" = $"&amp;TEXT(L157*$V157,"#,##0")&amp;CHAR(10),"")&amp;IF(M157&gt;0,"Pepas Batata: "&amp;M157&amp;" band. x $"&amp;TEXT($V157,"#,##0")&amp;" = $"&amp;TEXT(M157*$V157,"#,##0")&amp;CHAR(10),"")&amp;IF(N157&gt;0,"Pepas Frutos del Bosque: "&amp;N157&amp;" band. x $"&amp;TEXT($V157,"#,##0")&amp;" = $"&amp;TEXT(N157*$V157,"#,##0")&amp;CHAR(10),"")&amp;"................................."&amp;CHAR(10)&amp;"*TOTAL: $"&amp;TEXT(P157,"#,##0")&amp;"*"&amp;CHAR(10)&amp;CHAR(10)&amp;"¡Gracias por tu pedido! 🙏")</f>
        <v/>
      </c>
      <c r="T157" s="78">
        <f>IF(C157="",Config!$B$5,IF(C157&gt;=Config!$B$2,Config!$C$5,Config!$B$5))</f>
        <v/>
      </c>
      <c r="U157" s="78">
        <f>IF(C157="",Config!$B$8,IF(C157&gt;=Config!$B$2,Config!$C$8,Config!$B$8))</f>
        <v/>
      </c>
      <c r="V157" s="78">
        <f>IF(C157="",Config!$B$9,IF(C157&gt;=Config!$B$2,Config!$C$9,Config!$B$9))</f>
        <v/>
      </c>
    </row>
    <row r="158" ht="60" customHeight="1" s="55">
      <c r="A158" s="72">
        <f>IF(D158="","",ROW()-4)</f>
        <v/>
      </c>
      <c r="B158" s="73" t="n"/>
      <c r="C158" s="73" t="n"/>
      <c r="D158" s="74" t="n"/>
      <c r="E158" s="74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2">
        <f>IF(D158="","",SUM(F158:N158))</f>
        <v/>
      </c>
      <c r="P158" s="76">
        <f>IF(D158="","",(F158+G158+H158)*T158+I158*U158+(J158+K158+L158+M158+N158)*V158)</f>
        <v/>
      </c>
      <c r="Q158" s="74" t="n"/>
      <c r="R158" s="77">
        <f>IF(OR(D158="",O158=0),"","🥮 *NUESTRO ALFAJOR*"&amp;CHAR(10)&amp;"Remito N° "&amp;A158&amp;CHAR(10)&amp;"Fecha entrega: "&amp;TEXT(C158,"DD/MM/YYYY")&amp;CHAR(10)&amp;"Cliente: "&amp;D158&amp;IF(E158&lt;&gt;"",", "&amp;E158,"")&amp;CHAR(10)&amp;"................................."&amp;CHAR(10)&amp;IF(F158&gt;0,"Alfajor Maicena x7: "&amp;F158&amp;" pack. x $"&amp;TEXT($T158,"#,##0")&amp;" = $"&amp;TEXT(F158*$T158,"#,##0")&amp;CHAR(10),"")&amp;IF(G158&gt;0,"Alfajor Frutal x7: "&amp;G158&amp;" pack. x $"&amp;TEXT($T158,"#,##0")&amp;" = $"&amp;TEXT(G158*$T158,"#,##0")&amp;CHAR(10),"")&amp;IF(H158&gt;0,"Alfajor Santafesino x7: "&amp;H158&amp;" pack. x $"&amp;TEXT($T158,"#,##0")&amp;" = $"&amp;TEXT(H158*$T158,"#,##0")&amp;CHAR(10),"")&amp;IF(I158&gt;0,"Alfajor Maicena x14: "&amp;I158&amp;" pack. x $"&amp;TEXT($U158,"#,##0")&amp;" = $"&amp;TEXT(I158*$U158,"#,##0")&amp;CHAR(10),"")&amp;IF(J158&gt;0,"Pepas DDL: "&amp;J158&amp;" band. x $"&amp;TEXT($V158,"#,##0")&amp;" = $"&amp;TEXT(J158*$V158,"#,##0")&amp;CHAR(10),"")&amp;IF(K158&gt;0,"Pepas Membrillo: "&amp;K158&amp;" band. x $"&amp;TEXT($V158,"#,##0")&amp;" = $"&amp;TEXT(K158*$V158,"#,##0")&amp;CHAR(10),"")&amp;IF(L158&gt;0,"Pepas Arándano: "&amp;L158&amp;" band. x $"&amp;TEXT($V158,"#,##0")&amp;" = $"&amp;TEXT(L158*$V158,"#,##0")&amp;CHAR(10),"")&amp;IF(M158&gt;0,"Pepas Batata: "&amp;M158&amp;" band. x $"&amp;TEXT($V158,"#,##0")&amp;" = $"&amp;TEXT(M158*$V158,"#,##0")&amp;CHAR(10),"")&amp;IF(N158&gt;0,"Pepas Frutos del Bosque: "&amp;N158&amp;" band. x $"&amp;TEXT($V158,"#,##0")&amp;" = $"&amp;TEXT(N158*$V158,"#,##0")&amp;CHAR(10),"")&amp;"................................."&amp;CHAR(10)&amp;"*TOTAL: $"&amp;TEXT(P158,"#,##0")&amp;"*"&amp;CHAR(10)&amp;CHAR(10)&amp;"¡Gracias por tu pedido! 🙏")</f>
        <v/>
      </c>
      <c r="T158" s="78">
        <f>IF(C158="",Config!$B$5,IF(C158&gt;=Config!$B$2,Config!$C$5,Config!$B$5))</f>
        <v/>
      </c>
      <c r="U158" s="78">
        <f>IF(C158="",Config!$B$8,IF(C158&gt;=Config!$B$2,Config!$C$8,Config!$B$8))</f>
        <v/>
      </c>
      <c r="V158" s="78">
        <f>IF(C158="",Config!$B$9,IF(C158&gt;=Config!$B$2,Config!$C$9,Config!$B$9))</f>
        <v/>
      </c>
    </row>
    <row r="159" ht="60" customHeight="1" s="55">
      <c r="A159" s="72">
        <f>IF(D159="","",ROW()-4)</f>
        <v/>
      </c>
      <c r="B159" s="73" t="n"/>
      <c r="C159" s="73" t="n"/>
      <c r="D159" s="74" t="n"/>
      <c r="E159" s="74" t="n"/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2">
        <f>IF(D159="","",SUM(F159:N159))</f>
        <v/>
      </c>
      <c r="P159" s="76">
        <f>IF(D159="","",(F159+G159+H159)*T159+I159*U159+(J159+K159+L159+M159+N159)*V159)</f>
        <v/>
      </c>
      <c r="Q159" s="74" t="n"/>
      <c r="R159" s="77">
        <f>IF(OR(D159="",O159=0),"","🥮 *NUESTRO ALFAJOR*"&amp;CHAR(10)&amp;"Remito N° "&amp;A159&amp;CHAR(10)&amp;"Fecha entrega: "&amp;TEXT(C159,"DD/MM/YYYY")&amp;CHAR(10)&amp;"Cliente: "&amp;D159&amp;IF(E159&lt;&gt;"",", "&amp;E159,"")&amp;CHAR(10)&amp;"................................."&amp;CHAR(10)&amp;IF(F159&gt;0,"Alfajor Maicena x7: "&amp;F159&amp;" pack. x $"&amp;TEXT($T159,"#,##0")&amp;" = $"&amp;TEXT(F159*$T159,"#,##0")&amp;CHAR(10),"")&amp;IF(G159&gt;0,"Alfajor Frutal x7: "&amp;G159&amp;" pack. x $"&amp;TEXT($T159,"#,##0")&amp;" = $"&amp;TEXT(G159*$T159,"#,##0")&amp;CHAR(10),"")&amp;IF(H159&gt;0,"Alfajor Santafesino x7: "&amp;H159&amp;" pack. x $"&amp;TEXT($T159,"#,##0")&amp;" = $"&amp;TEXT(H159*$T159,"#,##0")&amp;CHAR(10),"")&amp;IF(I159&gt;0,"Alfajor Maicena x14: "&amp;I159&amp;" pack. x $"&amp;TEXT($U159,"#,##0")&amp;" = $"&amp;TEXT(I159*$U159,"#,##0")&amp;CHAR(10),"")&amp;IF(J159&gt;0,"Pepas DDL: "&amp;J159&amp;" band. x $"&amp;TEXT($V159,"#,##0")&amp;" = $"&amp;TEXT(J159*$V159,"#,##0")&amp;CHAR(10),"")&amp;IF(K159&gt;0,"Pepas Membrillo: "&amp;K159&amp;" band. x $"&amp;TEXT($V159,"#,##0")&amp;" = $"&amp;TEXT(K159*$V159,"#,##0")&amp;CHAR(10),"")&amp;IF(L159&gt;0,"Pepas Arándano: "&amp;L159&amp;" band. x $"&amp;TEXT($V159,"#,##0")&amp;" = $"&amp;TEXT(L159*$V159,"#,##0")&amp;CHAR(10),"")&amp;IF(M159&gt;0,"Pepas Batata: "&amp;M159&amp;" band. x $"&amp;TEXT($V159,"#,##0")&amp;" = $"&amp;TEXT(M159*$V159,"#,##0")&amp;CHAR(10),"")&amp;IF(N159&gt;0,"Pepas Frutos del Bosque: "&amp;N159&amp;" band. x $"&amp;TEXT($V159,"#,##0")&amp;" = $"&amp;TEXT(N159*$V159,"#,##0")&amp;CHAR(10),"")&amp;"................................."&amp;CHAR(10)&amp;"*TOTAL: $"&amp;TEXT(P159,"#,##0")&amp;"*"&amp;CHAR(10)&amp;CHAR(10)&amp;"¡Gracias por tu pedido! 🙏")</f>
        <v/>
      </c>
      <c r="T159" s="78">
        <f>IF(C159="",Config!$B$5,IF(C159&gt;=Config!$B$2,Config!$C$5,Config!$B$5))</f>
        <v/>
      </c>
      <c r="U159" s="78">
        <f>IF(C159="",Config!$B$8,IF(C159&gt;=Config!$B$2,Config!$C$8,Config!$B$8))</f>
        <v/>
      </c>
      <c r="V159" s="78">
        <f>IF(C159="",Config!$B$9,IF(C159&gt;=Config!$B$2,Config!$C$9,Config!$B$9))</f>
        <v/>
      </c>
    </row>
    <row r="160" ht="60" customHeight="1" s="55">
      <c r="A160" s="72">
        <f>IF(D160="","",ROW()-4)</f>
        <v/>
      </c>
      <c r="B160" s="73" t="n"/>
      <c r="C160" s="73" t="n"/>
      <c r="D160" s="74" t="n"/>
      <c r="E160" s="74" t="n"/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2">
        <f>IF(D160="","",SUM(F160:N160))</f>
        <v/>
      </c>
      <c r="P160" s="76">
        <f>IF(D160="","",(F160+G160+H160)*T160+I160*U160+(J160+K160+L160+M160+N160)*V160)</f>
        <v/>
      </c>
      <c r="Q160" s="74" t="n"/>
      <c r="R160" s="77">
        <f>IF(OR(D160="",O160=0),"","🥮 *NUESTRO ALFAJOR*"&amp;CHAR(10)&amp;"Remito N° "&amp;A160&amp;CHAR(10)&amp;"Fecha entrega: "&amp;TEXT(C160,"DD/MM/YYYY")&amp;CHAR(10)&amp;"Cliente: "&amp;D160&amp;IF(E160&lt;&gt;"",", "&amp;E160,"")&amp;CHAR(10)&amp;"................................."&amp;CHAR(10)&amp;IF(F160&gt;0,"Alfajor Maicena x7: "&amp;F160&amp;" pack. x $"&amp;TEXT($T160,"#,##0")&amp;" = $"&amp;TEXT(F160*$T160,"#,##0")&amp;CHAR(10),"")&amp;IF(G160&gt;0,"Alfajor Frutal x7: "&amp;G160&amp;" pack. x $"&amp;TEXT($T160,"#,##0")&amp;" = $"&amp;TEXT(G160*$T160,"#,##0")&amp;CHAR(10),"")&amp;IF(H160&gt;0,"Alfajor Santafesino x7: "&amp;H160&amp;" pack. x $"&amp;TEXT($T160,"#,##0")&amp;" = $"&amp;TEXT(H160*$T160,"#,##0")&amp;CHAR(10),"")&amp;IF(I160&gt;0,"Alfajor Maicena x14: "&amp;I160&amp;" pack. x $"&amp;TEXT($U160,"#,##0")&amp;" = $"&amp;TEXT(I160*$U160,"#,##0")&amp;CHAR(10),"")&amp;IF(J160&gt;0,"Pepas DDL: "&amp;J160&amp;" band. x $"&amp;TEXT($V160,"#,##0")&amp;" = $"&amp;TEXT(J160*$V160,"#,##0")&amp;CHAR(10),"")&amp;IF(K160&gt;0,"Pepas Membrillo: "&amp;K160&amp;" band. x $"&amp;TEXT($V160,"#,##0")&amp;" = $"&amp;TEXT(K160*$V160,"#,##0")&amp;CHAR(10),"")&amp;IF(L160&gt;0,"Pepas Arándano: "&amp;L160&amp;" band. x $"&amp;TEXT($V160,"#,##0")&amp;" = $"&amp;TEXT(L160*$V160,"#,##0")&amp;CHAR(10),"")&amp;IF(M160&gt;0,"Pepas Batata: "&amp;M160&amp;" band. x $"&amp;TEXT($V160,"#,##0")&amp;" = $"&amp;TEXT(M160*$V160,"#,##0")&amp;CHAR(10),"")&amp;IF(N160&gt;0,"Pepas Frutos del Bosque: "&amp;N160&amp;" band. x $"&amp;TEXT($V160,"#,##0")&amp;" = $"&amp;TEXT(N160*$V160,"#,##0")&amp;CHAR(10),"")&amp;"................................."&amp;CHAR(10)&amp;"*TOTAL: $"&amp;TEXT(P160,"#,##0")&amp;"*"&amp;CHAR(10)&amp;CHAR(10)&amp;"¡Gracias por tu pedido! 🙏")</f>
        <v/>
      </c>
      <c r="T160" s="78">
        <f>IF(C160="",Config!$B$5,IF(C160&gt;=Config!$B$2,Config!$C$5,Config!$B$5))</f>
        <v/>
      </c>
      <c r="U160" s="78">
        <f>IF(C160="",Config!$B$8,IF(C160&gt;=Config!$B$2,Config!$C$8,Config!$B$8))</f>
        <v/>
      </c>
      <c r="V160" s="78">
        <f>IF(C160="",Config!$B$9,IF(C160&gt;=Config!$B$2,Config!$C$9,Config!$B$9))</f>
        <v/>
      </c>
    </row>
    <row r="161" ht="60" customHeight="1" s="55">
      <c r="A161" s="72">
        <f>IF(D161="","",ROW()-4)</f>
        <v/>
      </c>
      <c r="B161" s="73" t="n"/>
      <c r="C161" s="73" t="n"/>
      <c r="D161" s="74" t="n"/>
      <c r="E161" s="74" t="n"/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2">
        <f>IF(D161="","",SUM(F161:N161))</f>
        <v/>
      </c>
      <c r="P161" s="76">
        <f>IF(D161="","",(F161+G161+H161)*T161+I161*U161+(J161+K161+L161+M161+N161)*V161)</f>
        <v/>
      </c>
      <c r="Q161" s="74" t="n"/>
      <c r="R161" s="77">
        <f>IF(OR(D161="",O161=0),"","🥮 *NUESTRO ALFAJOR*"&amp;CHAR(10)&amp;"Remito N° "&amp;A161&amp;CHAR(10)&amp;"Fecha entrega: "&amp;TEXT(C161,"DD/MM/YYYY")&amp;CHAR(10)&amp;"Cliente: "&amp;D161&amp;IF(E161&lt;&gt;"",", "&amp;E161,"")&amp;CHAR(10)&amp;"................................."&amp;CHAR(10)&amp;IF(F161&gt;0,"Alfajor Maicena x7: "&amp;F161&amp;" pack. x $"&amp;TEXT($T161,"#,##0")&amp;" = $"&amp;TEXT(F161*$T161,"#,##0")&amp;CHAR(10),"")&amp;IF(G161&gt;0,"Alfajor Frutal x7: "&amp;G161&amp;" pack. x $"&amp;TEXT($T161,"#,##0")&amp;" = $"&amp;TEXT(G161*$T161,"#,##0")&amp;CHAR(10),"")&amp;IF(H161&gt;0,"Alfajor Santafesino x7: "&amp;H161&amp;" pack. x $"&amp;TEXT($T161,"#,##0")&amp;" = $"&amp;TEXT(H161*$T161,"#,##0")&amp;CHAR(10),"")&amp;IF(I161&gt;0,"Alfajor Maicena x14: "&amp;I161&amp;" pack. x $"&amp;TEXT($U161,"#,##0")&amp;" = $"&amp;TEXT(I161*$U161,"#,##0")&amp;CHAR(10),"")&amp;IF(J161&gt;0,"Pepas DDL: "&amp;J161&amp;" band. x $"&amp;TEXT($V161,"#,##0")&amp;" = $"&amp;TEXT(J161*$V161,"#,##0")&amp;CHAR(10),"")&amp;IF(K161&gt;0,"Pepas Membrillo: "&amp;K161&amp;" band. x $"&amp;TEXT($V161,"#,##0")&amp;" = $"&amp;TEXT(K161*$V161,"#,##0")&amp;CHAR(10),"")&amp;IF(L161&gt;0,"Pepas Arándano: "&amp;L161&amp;" band. x $"&amp;TEXT($V161,"#,##0")&amp;" = $"&amp;TEXT(L161*$V161,"#,##0")&amp;CHAR(10),"")&amp;IF(M161&gt;0,"Pepas Batata: "&amp;M161&amp;" band. x $"&amp;TEXT($V161,"#,##0")&amp;" = $"&amp;TEXT(M161*$V161,"#,##0")&amp;CHAR(10),"")&amp;IF(N161&gt;0,"Pepas Frutos del Bosque: "&amp;N161&amp;" band. x $"&amp;TEXT($V161,"#,##0")&amp;" = $"&amp;TEXT(N161*$V161,"#,##0")&amp;CHAR(10),"")&amp;"................................."&amp;CHAR(10)&amp;"*TOTAL: $"&amp;TEXT(P161,"#,##0")&amp;"*"&amp;CHAR(10)&amp;CHAR(10)&amp;"¡Gracias por tu pedido! 🙏")</f>
        <v/>
      </c>
      <c r="T161" s="78">
        <f>IF(C161="",Config!$B$5,IF(C161&gt;=Config!$B$2,Config!$C$5,Config!$B$5))</f>
        <v/>
      </c>
      <c r="U161" s="78">
        <f>IF(C161="",Config!$B$8,IF(C161&gt;=Config!$B$2,Config!$C$8,Config!$B$8))</f>
        <v/>
      </c>
      <c r="V161" s="78">
        <f>IF(C161="",Config!$B$9,IF(C161&gt;=Config!$B$2,Config!$C$9,Config!$B$9))</f>
        <v/>
      </c>
    </row>
    <row r="162" ht="60" customHeight="1" s="55">
      <c r="A162" s="72">
        <f>IF(D162="","",ROW()-4)</f>
        <v/>
      </c>
      <c r="B162" s="73" t="n"/>
      <c r="C162" s="73" t="n"/>
      <c r="D162" s="74" t="n"/>
      <c r="E162" s="74" t="n"/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2">
        <f>IF(D162="","",SUM(F162:N162))</f>
        <v/>
      </c>
      <c r="P162" s="76">
        <f>IF(D162="","",(F162+G162+H162)*T162+I162*U162+(J162+K162+L162+M162+N162)*V162)</f>
        <v/>
      </c>
      <c r="Q162" s="74" t="n"/>
      <c r="R162" s="77">
        <f>IF(OR(D162="",O162=0),"","🥮 *NUESTRO ALFAJOR*"&amp;CHAR(10)&amp;"Remito N° "&amp;A162&amp;CHAR(10)&amp;"Fecha entrega: "&amp;TEXT(C162,"DD/MM/YYYY")&amp;CHAR(10)&amp;"Cliente: "&amp;D162&amp;IF(E162&lt;&gt;"",", "&amp;E162,"")&amp;CHAR(10)&amp;"................................."&amp;CHAR(10)&amp;IF(F162&gt;0,"Alfajor Maicena x7: "&amp;F162&amp;" pack. x $"&amp;TEXT($T162,"#,##0")&amp;" = $"&amp;TEXT(F162*$T162,"#,##0")&amp;CHAR(10),"")&amp;IF(G162&gt;0,"Alfajor Frutal x7: "&amp;G162&amp;" pack. x $"&amp;TEXT($T162,"#,##0")&amp;" = $"&amp;TEXT(G162*$T162,"#,##0")&amp;CHAR(10),"")&amp;IF(H162&gt;0,"Alfajor Santafesino x7: "&amp;H162&amp;" pack. x $"&amp;TEXT($T162,"#,##0")&amp;" = $"&amp;TEXT(H162*$T162,"#,##0")&amp;CHAR(10),"")&amp;IF(I162&gt;0,"Alfajor Maicena x14: "&amp;I162&amp;" pack. x $"&amp;TEXT($U162,"#,##0")&amp;" = $"&amp;TEXT(I162*$U162,"#,##0")&amp;CHAR(10),"")&amp;IF(J162&gt;0,"Pepas DDL: "&amp;J162&amp;" band. x $"&amp;TEXT($V162,"#,##0")&amp;" = $"&amp;TEXT(J162*$V162,"#,##0")&amp;CHAR(10),"")&amp;IF(K162&gt;0,"Pepas Membrillo: "&amp;K162&amp;" band. x $"&amp;TEXT($V162,"#,##0")&amp;" = $"&amp;TEXT(K162*$V162,"#,##0")&amp;CHAR(10),"")&amp;IF(L162&gt;0,"Pepas Arándano: "&amp;L162&amp;" band. x $"&amp;TEXT($V162,"#,##0")&amp;" = $"&amp;TEXT(L162*$V162,"#,##0")&amp;CHAR(10),"")&amp;IF(M162&gt;0,"Pepas Batata: "&amp;M162&amp;" band. x $"&amp;TEXT($V162,"#,##0")&amp;" = $"&amp;TEXT(M162*$V162,"#,##0")&amp;CHAR(10),"")&amp;IF(N162&gt;0,"Pepas Frutos del Bosque: "&amp;N162&amp;" band. x $"&amp;TEXT($V162,"#,##0")&amp;" = $"&amp;TEXT(N162*$V162,"#,##0")&amp;CHAR(10),"")&amp;"................................."&amp;CHAR(10)&amp;"*TOTAL: $"&amp;TEXT(P162,"#,##0")&amp;"*"&amp;CHAR(10)&amp;CHAR(10)&amp;"¡Gracias por tu pedido! 🙏")</f>
        <v/>
      </c>
      <c r="T162" s="78">
        <f>IF(C162="",Config!$B$5,IF(C162&gt;=Config!$B$2,Config!$C$5,Config!$B$5))</f>
        <v/>
      </c>
      <c r="U162" s="78">
        <f>IF(C162="",Config!$B$8,IF(C162&gt;=Config!$B$2,Config!$C$8,Config!$B$8))</f>
        <v/>
      </c>
      <c r="V162" s="78">
        <f>IF(C162="",Config!$B$9,IF(C162&gt;=Config!$B$2,Config!$C$9,Config!$B$9))</f>
        <v/>
      </c>
    </row>
    <row r="163" ht="60" customHeight="1" s="55">
      <c r="A163" s="72">
        <f>IF(D163="","",ROW()-4)</f>
        <v/>
      </c>
      <c r="B163" s="73" t="n"/>
      <c r="C163" s="73" t="n"/>
      <c r="D163" s="74" t="n"/>
      <c r="E163" s="74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2">
        <f>IF(D163="","",SUM(F163:N163))</f>
        <v/>
      </c>
      <c r="P163" s="76">
        <f>IF(D163="","",(F163+G163+H163)*T163+I163*U163+(J163+K163+L163+M163+N163)*V163)</f>
        <v/>
      </c>
      <c r="Q163" s="74" t="n"/>
      <c r="R163" s="77">
        <f>IF(OR(D163="",O163=0),"","🥮 *NUESTRO ALFAJOR*"&amp;CHAR(10)&amp;"Remito N° "&amp;A163&amp;CHAR(10)&amp;"Fecha entrega: "&amp;TEXT(C163,"DD/MM/YYYY")&amp;CHAR(10)&amp;"Cliente: "&amp;D163&amp;IF(E163&lt;&gt;"",", "&amp;E163,"")&amp;CHAR(10)&amp;"................................."&amp;CHAR(10)&amp;IF(F163&gt;0,"Alfajor Maicena x7: "&amp;F163&amp;" pack. x $"&amp;TEXT($T163,"#,##0")&amp;" = $"&amp;TEXT(F163*$T163,"#,##0")&amp;CHAR(10),"")&amp;IF(G163&gt;0,"Alfajor Frutal x7: "&amp;G163&amp;" pack. x $"&amp;TEXT($T163,"#,##0")&amp;" = $"&amp;TEXT(G163*$T163,"#,##0")&amp;CHAR(10),"")&amp;IF(H163&gt;0,"Alfajor Santafesino x7: "&amp;H163&amp;" pack. x $"&amp;TEXT($T163,"#,##0")&amp;" = $"&amp;TEXT(H163*$T163,"#,##0")&amp;CHAR(10),"")&amp;IF(I163&gt;0,"Alfajor Maicena x14: "&amp;I163&amp;" pack. x $"&amp;TEXT($U163,"#,##0")&amp;" = $"&amp;TEXT(I163*$U163,"#,##0")&amp;CHAR(10),"")&amp;IF(J163&gt;0,"Pepas DDL: "&amp;J163&amp;" band. x $"&amp;TEXT($V163,"#,##0")&amp;" = $"&amp;TEXT(J163*$V163,"#,##0")&amp;CHAR(10),"")&amp;IF(K163&gt;0,"Pepas Membrillo: "&amp;K163&amp;" band. x $"&amp;TEXT($V163,"#,##0")&amp;" = $"&amp;TEXT(K163*$V163,"#,##0")&amp;CHAR(10),"")&amp;IF(L163&gt;0,"Pepas Arándano: "&amp;L163&amp;" band. x $"&amp;TEXT($V163,"#,##0")&amp;" = $"&amp;TEXT(L163*$V163,"#,##0")&amp;CHAR(10),"")&amp;IF(M163&gt;0,"Pepas Batata: "&amp;M163&amp;" band. x $"&amp;TEXT($V163,"#,##0")&amp;" = $"&amp;TEXT(M163*$V163,"#,##0")&amp;CHAR(10),"")&amp;IF(N163&gt;0,"Pepas Frutos del Bosque: "&amp;N163&amp;" band. x $"&amp;TEXT($V163,"#,##0")&amp;" = $"&amp;TEXT(N163*$V163,"#,##0")&amp;CHAR(10),"")&amp;"................................."&amp;CHAR(10)&amp;"*TOTAL: $"&amp;TEXT(P163,"#,##0")&amp;"*"&amp;CHAR(10)&amp;CHAR(10)&amp;"¡Gracias por tu pedido! 🙏")</f>
        <v/>
      </c>
      <c r="T163" s="78">
        <f>IF(C163="",Config!$B$5,IF(C163&gt;=Config!$B$2,Config!$C$5,Config!$B$5))</f>
        <v/>
      </c>
      <c r="U163" s="78">
        <f>IF(C163="",Config!$B$8,IF(C163&gt;=Config!$B$2,Config!$C$8,Config!$B$8))</f>
        <v/>
      </c>
      <c r="V163" s="78">
        <f>IF(C163="",Config!$B$9,IF(C163&gt;=Config!$B$2,Config!$C$9,Config!$B$9))</f>
        <v/>
      </c>
    </row>
    <row r="164" ht="60" customHeight="1" s="55">
      <c r="A164" s="72">
        <f>IF(D164="","",ROW()-4)</f>
        <v/>
      </c>
      <c r="B164" s="73" t="n"/>
      <c r="C164" s="73" t="n"/>
      <c r="D164" s="74" t="n"/>
      <c r="E164" s="74" t="n"/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2">
        <f>IF(D164="","",SUM(F164:N164))</f>
        <v/>
      </c>
      <c r="P164" s="76">
        <f>IF(D164="","",(F164+G164+H164)*T164+I164*U164+(J164+K164+L164+M164+N164)*V164)</f>
        <v/>
      </c>
      <c r="Q164" s="74" t="n"/>
      <c r="R164" s="77">
        <f>IF(OR(D164="",O164=0),"","🥮 *NUESTRO ALFAJOR*"&amp;CHAR(10)&amp;"Remito N° "&amp;A164&amp;CHAR(10)&amp;"Fecha entrega: "&amp;TEXT(C164,"DD/MM/YYYY")&amp;CHAR(10)&amp;"Cliente: "&amp;D164&amp;IF(E164&lt;&gt;"",", "&amp;E164,"")&amp;CHAR(10)&amp;"................................."&amp;CHAR(10)&amp;IF(F164&gt;0,"Alfajor Maicena x7: "&amp;F164&amp;" pack. x $"&amp;TEXT($T164,"#,##0")&amp;" = $"&amp;TEXT(F164*$T164,"#,##0")&amp;CHAR(10),"")&amp;IF(G164&gt;0,"Alfajor Frutal x7: "&amp;G164&amp;" pack. x $"&amp;TEXT($T164,"#,##0")&amp;" = $"&amp;TEXT(G164*$T164,"#,##0")&amp;CHAR(10),"")&amp;IF(H164&gt;0,"Alfajor Santafesino x7: "&amp;H164&amp;" pack. x $"&amp;TEXT($T164,"#,##0")&amp;" = $"&amp;TEXT(H164*$T164,"#,##0")&amp;CHAR(10),"")&amp;IF(I164&gt;0,"Alfajor Maicena x14: "&amp;I164&amp;" pack. x $"&amp;TEXT($U164,"#,##0")&amp;" = $"&amp;TEXT(I164*$U164,"#,##0")&amp;CHAR(10),"")&amp;IF(J164&gt;0,"Pepas DDL: "&amp;J164&amp;" band. x $"&amp;TEXT($V164,"#,##0")&amp;" = $"&amp;TEXT(J164*$V164,"#,##0")&amp;CHAR(10),"")&amp;IF(K164&gt;0,"Pepas Membrillo: "&amp;K164&amp;" band. x $"&amp;TEXT($V164,"#,##0")&amp;" = $"&amp;TEXT(K164*$V164,"#,##0")&amp;CHAR(10),"")&amp;IF(L164&gt;0,"Pepas Arándano: "&amp;L164&amp;" band. x $"&amp;TEXT($V164,"#,##0")&amp;" = $"&amp;TEXT(L164*$V164,"#,##0")&amp;CHAR(10),"")&amp;IF(M164&gt;0,"Pepas Batata: "&amp;M164&amp;" band. x $"&amp;TEXT($V164,"#,##0")&amp;" = $"&amp;TEXT(M164*$V164,"#,##0")&amp;CHAR(10),"")&amp;IF(N164&gt;0,"Pepas Frutos del Bosque: "&amp;N164&amp;" band. x $"&amp;TEXT($V164,"#,##0")&amp;" = $"&amp;TEXT(N164*$V164,"#,##0")&amp;CHAR(10),"")&amp;"................................."&amp;CHAR(10)&amp;"*TOTAL: $"&amp;TEXT(P164,"#,##0")&amp;"*"&amp;CHAR(10)&amp;CHAR(10)&amp;"¡Gracias por tu pedido! 🙏")</f>
        <v/>
      </c>
      <c r="T164" s="78">
        <f>IF(C164="",Config!$B$5,IF(C164&gt;=Config!$B$2,Config!$C$5,Config!$B$5))</f>
        <v/>
      </c>
      <c r="U164" s="78">
        <f>IF(C164="",Config!$B$8,IF(C164&gt;=Config!$B$2,Config!$C$8,Config!$B$8))</f>
        <v/>
      </c>
      <c r="V164" s="78">
        <f>IF(C164="",Config!$B$9,IF(C164&gt;=Config!$B$2,Config!$C$9,Config!$B$9))</f>
        <v/>
      </c>
    </row>
    <row r="165" ht="60" customHeight="1" s="55">
      <c r="A165" s="72">
        <f>IF(D165="","",ROW()-4)</f>
        <v/>
      </c>
      <c r="B165" s="73" t="n"/>
      <c r="C165" s="73" t="n"/>
      <c r="D165" s="74" t="n"/>
      <c r="E165" s="74" t="n"/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2">
        <f>IF(D165="","",SUM(F165:N165))</f>
        <v/>
      </c>
      <c r="P165" s="76">
        <f>IF(D165="","",(F165+G165+H165)*T165+I165*U165+(J165+K165+L165+M165+N165)*V165)</f>
        <v/>
      </c>
      <c r="Q165" s="74" t="n"/>
      <c r="R165" s="77">
        <f>IF(OR(D165="",O165=0),"","🥮 *NUESTRO ALFAJOR*"&amp;CHAR(10)&amp;"Remito N° "&amp;A165&amp;CHAR(10)&amp;"Fecha entrega: "&amp;TEXT(C165,"DD/MM/YYYY")&amp;CHAR(10)&amp;"Cliente: "&amp;D165&amp;IF(E165&lt;&gt;"",", "&amp;E165,"")&amp;CHAR(10)&amp;"................................."&amp;CHAR(10)&amp;IF(F165&gt;0,"Alfajor Maicena x7: "&amp;F165&amp;" pack. x $"&amp;TEXT($T165,"#,##0")&amp;" = $"&amp;TEXT(F165*$T165,"#,##0")&amp;CHAR(10),"")&amp;IF(G165&gt;0,"Alfajor Frutal x7: "&amp;G165&amp;" pack. x $"&amp;TEXT($T165,"#,##0")&amp;" = $"&amp;TEXT(G165*$T165,"#,##0")&amp;CHAR(10),"")&amp;IF(H165&gt;0,"Alfajor Santafesino x7: "&amp;H165&amp;" pack. x $"&amp;TEXT($T165,"#,##0")&amp;" = $"&amp;TEXT(H165*$T165,"#,##0")&amp;CHAR(10),"")&amp;IF(I165&gt;0,"Alfajor Maicena x14: "&amp;I165&amp;" pack. x $"&amp;TEXT($U165,"#,##0")&amp;" = $"&amp;TEXT(I165*$U165,"#,##0")&amp;CHAR(10),"")&amp;IF(J165&gt;0,"Pepas DDL: "&amp;J165&amp;" band. x $"&amp;TEXT($V165,"#,##0")&amp;" = $"&amp;TEXT(J165*$V165,"#,##0")&amp;CHAR(10),"")&amp;IF(K165&gt;0,"Pepas Membrillo: "&amp;K165&amp;" band. x $"&amp;TEXT($V165,"#,##0")&amp;" = $"&amp;TEXT(K165*$V165,"#,##0")&amp;CHAR(10),"")&amp;IF(L165&gt;0,"Pepas Arándano: "&amp;L165&amp;" band. x $"&amp;TEXT($V165,"#,##0")&amp;" = $"&amp;TEXT(L165*$V165,"#,##0")&amp;CHAR(10),"")&amp;IF(M165&gt;0,"Pepas Batata: "&amp;M165&amp;" band. x $"&amp;TEXT($V165,"#,##0")&amp;" = $"&amp;TEXT(M165*$V165,"#,##0")&amp;CHAR(10),"")&amp;IF(N165&gt;0,"Pepas Frutos del Bosque: "&amp;N165&amp;" band. x $"&amp;TEXT($V165,"#,##0")&amp;" = $"&amp;TEXT(N165*$V165,"#,##0")&amp;CHAR(10),"")&amp;"................................."&amp;CHAR(10)&amp;"*TOTAL: $"&amp;TEXT(P165,"#,##0")&amp;"*"&amp;CHAR(10)&amp;CHAR(10)&amp;"¡Gracias por tu pedido! 🙏")</f>
        <v/>
      </c>
      <c r="T165" s="78">
        <f>IF(C165="",Config!$B$5,IF(C165&gt;=Config!$B$2,Config!$C$5,Config!$B$5))</f>
        <v/>
      </c>
      <c r="U165" s="78">
        <f>IF(C165="",Config!$B$8,IF(C165&gt;=Config!$B$2,Config!$C$8,Config!$B$8))</f>
        <v/>
      </c>
      <c r="V165" s="78">
        <f>IF(C165="",Config!$B$9,IF(C165&gt;=Config!$B$2,Config!$C$9,Config!$B$9))</f>
        <v/>
      </c>
    </row>
    <row r="166" ht="60" customHeight="1" s="55">
      <c r="A166" s="72">
        <f>IF(D166="","",ROW()-4)</f>
        <v/>
      </c>
      <c r="B166" s="73" t="n"/>
      <c r="C166" s="73" t="n"/>
      <c r="D166" s="74" t="n"/>
      <c r="E166" s="74" t="n"/>
      <c r="F166" s="75" t="n"/>
      <c r="G166" s="75" t="n"/>
      <c r="H166" s="75" t="n"/>
      <c r="I166" s="75" t="n"/>
      <c r="J166" s="75" t="n"/>
      <c r="K166" s="75" t="n"/>
      <c r="L166" s="75" t="n"/>
      <c r="M166" s="75" t="n"/>
      <c r="N166" s="75" t="n"/>
      <c r="O166" s="72">
        <f>IF(D166="","",SUM(F166:N166))</f>
        <v/>
      </c>
      <c r="P166" s="76">
        <f>IF(D166="","",(F166+G166+H166)*T166+I166*U166+(J166+K166+L166+M166+N166)*V166)</f>
        <v/>
      </c>
      <c r="Q166" s="74" t="n"/>
      <c r="R166" s="77">
        <f>IF(OR(D166="",O166=0),"","🥮 *NUESTRO ALFAJOR*"&amp;CHAR(10)&amp;"Remito N° "&amp;A166&amp;CHAR(10)&amp;"Fecha entrega: "&amp;TEXT(C166,"DD/MM/YYYY")&amp;CHAR(10)&amp;"Cliente: "&amp;D166&amp;IF(E166&lt;&gt;"",", "&amp;E166,"")&amp;CHAR(10)&amp;"................................."&amp;CHAR(10)&amp;IF(F166&gt;0,"Alfajor Maicena x7: "&amp;F166&amp;" pack. x $"&amp;TEXT($T166,"#,##0")&amp;" = $"&amp;TEXT(F166*$T166,"#,##0")&amp;CHAR(10),"")&amp;IF(G166&gt;0,"Alfajor Frutal x7: "&amp;G166&amp;" pack. x $"&amp;TEXT($T166,"#,##0")&amp;" = $"&amp;TEXT(G166*$T166,"#,##0")&amp;CHAR(10),"")&amp;IF(H166&gt;0,"Alfajor Santafesino x7: "&amp;H166&amp;" pack. x $"&amp;TEXT($T166,"#,##0")&amp;" = $"&amp;TEXT(H166*$T166,"#,##0")&amp;CHAR(10),"")&amp;IF(I166&gt;0,"Alfajor Maicena x14: "&amp;I166&amp;" pack. x $"&amp;TEXT($U166,"#,##0")&amp;" = $"&amp;TEXT(I166*$U166,"#,##0")&amp;CHAR(10),"")&amp;IF(J166&gt;0,"Pepas DDL: "&amp;J166&amp;" band. x $"&amp;TEXT($V166,"#,##0")&amp;" = $"&amp;TEXT(J166*$V166,"#,##0")&amp;CHAR(10),"")&amp;IF(K166&gt;0,"Pepas Membrillo: "&amp;K166&amp;" band. x $"&amp;TEXT($V166,"#,##0")&amp;" = $"&amp;TEXT(K166*$V166,"#,##0")&amp;CHAR(10),"")&amp;IF(L166&gt;0,"Pepas Arándano: "&amp;L166&amp;" band. x $"&amp;TEXT($V166,"#,##0")&amp;" = $"&amp;TEXT(L166*$V166,"#,##0")&amp;CHAR(10),"")&amp;IF(M166&gt;0,"Pepas Batata: "&amp;M166&amp;" band. x $"&amp;TEXT($V166,"#,##0")&amp;" = $"&amp;TEXT(M166*$V166,"#,##0")&amp;CHAR(10),"")&amp;IF(N166&gt;0,"Pepas Frutos del Bosque: "&amp;N166&amp;" band. x $"&amp;TEXT($V166,"#,##0")&amp;" = $"&amp;TEXT(N166*$V166,"#,##0")&amp;CHAR(10),"")&amp;"................................."&amp;CHAR(10)&amp;"*TOTAL: $"&amp;TEXT(P166,"#,##0")&amp;"*"&amp;CHAR(10)&amp;CHAR(10)&amp;"¡Gracias por tu pedido! 🙏")</f>
        <v/>
      </c>
      <c r="T166" s="78">
        <f>IF(C166="",Config!$B$5,IF(C166&gt;=Config!$B$2,Config!$C$5,Config!$B$5))</f>
        <v/>
      </c>
      <c r="U166" s="78">
        <f>IF(C166="",Config!$B$8,IF(C166&gt;=Config!$B$2,Config!$C$8,Config!$B$8))</f>
        <v/>
      </c>
      <c r="V166" s="78">
        <f>IF(C166="",Config!$B$9,IF(C166&gt;=Config!$B$2,Config!$C$9,Config!$B$9))</f>
        <v/>
      </c>
    </row>
    <row r="167" ht="60" customHeight="1" s="55">
      <c r="A167" s="72">
        <f>IF(D167="","",ROW()-4)</f>
        <v/>
      </c>
      <c r="B167" s="73" t="n"/>
      <c r="C167" s="73" t="n"/>
      <c r="D167" s="74" t="n"/>
      <c r="E167" s="74" t="n"/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/>
      <c r="O167" s="72">
        <f>IF(D167="","",SUM(F167:N167))</f>
        <v/>
      </c>
      <c r="P167" s="76">
        <f>IF(D167="","",(F167+G167+H167)*T167+I167*U167+(J167+K167+L167+M167+N167)*V167)</f>
        <v/>
      </c>
      <c r="Q167" s="74" t="n"/>
      <c r="R167" s="77">
        <f>IF(OR(D167="",O167=0),"","🥮 *NUESTRO ALFAJOR*"&amp;CHAR(10)&amp;"Remito N° "&amp;A167&amp;CHAR(10)&amp;"Fecha entrega: "&amp;TEXT(C167,"DD/MM/YYYY")&amp;CHAR(10)&amp;"Cliente: "&amp;D167&amp;IF(E167&lt;&gt;"",", "&amp;E167,"")&amp;CHAR(10)&amp;"................................."&amp;CHAR(10)&amp;IF(F167&gt;0,"Alfajor Maicena x7: "&amp;F167&amp;" pack. x $"&amp;TEXT($T167,"#,##0")&amp;" = $"&amp;TEXT(F167*$T167,"#,##0")&amp;CHAR(10),"")&amp;IF(G167&gt;0,"Alfajor Frutal x7: "&amp;G167&amp;" pack. x $"&amp;TEXT($T167,"#,##0")&amp;" = $"&amp;TEXT(G167*$T167,"#,##0")&amp;CHAR(10),"")&amp;IF(H167&gt;0,"Alfajor Santafesino x7: "&amp;H167&amp;" pack. x $"&amp;TEXT($T167,"#,##0")&amp;" = $"&amp;TEXT(H167*$T167,"#,##0")&amp;CHAR(10),"")&amp;IF(I167&gt;0,"Alfajor Maicena x14: "&amp;I167&amp;" pack. x $"&amp;TEXT($U167,"#,##0")&amp;" = $"&amp;TEXT(I167*$U167,"#,##0")&amp;CHAR(10),"")&amp;IF(J167&gt;0,"Pepas DDL: "&amp;J167&amp;" band. x $"&amp;TEXT($V167,"#,##0")&amp;" = $"&amp;TEXT(J167*$V167,"#,##0")&amp;CHAR(10),"")&amp;IF(K167&gt;0,"Pepas Membrillo: "&amp;K167&amp;" band. x $"&amp;TEXT($V167,"#,##0")&amp;" = $"&amp;TEXT(K167*$V167,"#,##0")&amp;CHAR(10),"")&amp;IF(L167&gt;0,"Pepas Arándano: "&amp;L167&amp;" band. x $"&amp;TEXT($V167,"#,##0")&amp;" = $"&amp;TEXT(L167*$V167,"#,##0")&amp;CHAR(10),"")&amp;IF(M167&gt;0,"Pepas Batata: "&amp;M167&amp;" band. x $"&amp;TEXT($V167,"#,##0")&amp;" = $"&amp;TEXT(M167*$V167,"#,##0")&amp;CHAR(10),"")&amp;IF(N167&gt;0,"Pepas Frutos del Bosque: "&amp;N167&amp;" band. x $"&amp;TEXT($V167,"#,##0")&amp;" = $"&amp;TEXT(N167*$V167,"#,##0")&amp;CHAR(10),"")&amp;"................................."&amp;CHAR(10)&amp;"*TOTAL: $"&amp;TEXT(P167,"#,##0")&amp;"*"&amp;CHAR(10)&amp;CHAR(10)&amp;"¡Gracias por tu pedido! 🙏")</f>
        <v/>
      </c>
      <c r="T167" s="78">
        <f>IF(C167="",Config!$B$5,IF(C167&gt;=Config!$B$2,Config!$C$5,Config!$B$5))</f>
        <v/>
      </c>
      <c r="U167" s="78">
        <f>IF(C167="",Config!$B$8,IF(C167&gt;=Config!$B$2,Config!$C$8,Config!$B$8))</f>
        <v/>
      </c>
      <c r="V167" s="78">
        <f>IF(C167="",Config!$B$9,IF(C167&gt;=Config!$B$2,Config!$C$9,Config!$B$9))</f>
        <v/>
      </c>
    </row>
    <row r="168" ht="60" customHeight="1" s="55">
      <c r="A168" s="72">
        <f>IF(D168="","",ROW()-4)</f>
        <v/>
      </c>
      <c r="B168" s="73" t="n"/>
      <c r="C168" s="73" t="n"/>
      <c r="D168" s="74" t="n"/>
      <c r="E168" s="74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2">
        <f>IF(D168="","",SUM(F168:N168))</f>
        <v/>
      </c>
      <c r="P168" s="76">
        <f>IF(D168="","",(F168+G168+H168)*T168+I168*U168+(J168+K168+L168+M168+N168)*V168)</f>
        <v/>
      </c>
      <c r="Q168" s="74" t="n"/>
      <c r="R168" s="77">
        <f>IF(OR(D168="",O168=0),"","🥮 *NUESTRO ALFAJOR*"&amp;CHAR(10)&amp;"Remito N° "&amp;A168&amp;CHAR(10)&amp;"Fecha entrega: "&amp;TEXT(C168,"DD/MM/YYYY")&amp;CHAR(10)&amp;"Cliente: "&amp;D168&amp;IF(E168&lt;&gt;"",", "&amp;E168,"")&amp;CHAR(10)&amp;"................................."&amp;CHAR(10)&amp;IF(F168&gt;0,"Alfajor Maicena x7: "&amp;F168&amp;" pack. x $"&amp;TEXT($T168,"#,##0")&amp;" = $"&amp;TEXT(F168*$T168,"#,##0")&amp;CHAR(10),"")&amp;IF(G168&gt;0,"Alfajor Frutal x7: "&amp;G168&amp;" pack. x $"&amp;TEXT($T168,"#,##0")&amp;" = $"&amp;TEXT(G168*$T168,"#,##0")&amp;CHAR(10),"")&amp;IF(H168&gt;0,"Alfajor Santafesino x7: "&amp;H168&amp;" pack. x $"&amp;TEXT($T168,"#,##0")&amp;" = $"&amp;TEXT(H168*$T168,"#,##0")&amp;CHAR(10),"")&amp;IF(I168&gt;0,"Alfajor Maicena x14: "&amp;I168&amp;" pack. x $"&amp;TEXT($U168,"#,##0")&amp;" = $"&amp;TEXT(I168*$U168,"#,##0")&amp;CHAR(10),"")&amp;IF(J168&gt;0,"Pepas DDL: "&amp;J168&amp;" band. x $"&amp;TEXT($V168,"#,##0")&amp;" = $"&amp;TEXT(J168*$V168,"#,##0")&amp;CHAR(10),"")&amp;IF(K168&gt;0,"Pepas Membrillo: "&amp;K168&amp;" band. x $"&amp;TEXT($V168,"#,##0")&amp;" = $"&amp;TEXT(K168*$V168,"#,##0")&amp;CHAR(10),"")&amp;IF(L168&gt;0,"Pepas Arándano: "&amp;L168&amp;" band. x $"&amp;TEXT($V168,"#,##0")&amp;" = $"&amp;TEXT(L168*$V168,"#,##0")&amp;CHAR(10),"")&amp;IF(M168&gt;0,"Pepas Batata: "&amp;M168&amp;" band. x $"&amp;TEXT($V168,"#,##0")&amp;" = $"&amp;TEXT(M168*$V168,"#,##0")&amp;CHAR(10),"")&amp;IF(N168&gt;0,"Pepas Frutos del Bosque: "&amp;N168&amp;" band. x $"&amp;TEXT($V168,"#,##0")&amp;" = $"&amp;TEXT(N168*$V168,"#,##0")&amp;CHAR(10),"")&amp;"................................."&amp;CHAR(10)&amp;"*TOTAL: $"&amp;TEXT(P168,"#,##0")&amp;"*"&amp;CHAR(10)&amp;CHAR(10)&amp;"¡Gracias por tu pedido! 🙏")</f>
        <v/>
      </c>
      <c r="T168" s="78">
        <f>IF(C168="",Config!$B$5,IF(C168&gt;=Config!$B$2,Config!$C$5,Config!$B$5))</f>
        <v/>
      </c>
      <c r="U168" s="78">
        <f>IF(C168="",Config!$B$8,IF(C168&gt;=Config!$B$2,Config!$C$8,Config!$B$8))</f>
        <v/>
      </c>
      <c r="V168" s="78">
        <f>IF(C168="",Config!$B$9,IF(C168&gt;=Config!$B$2,Config!$C$9,Config!$B$9))</f>
        <v/>
      </c>
    </row>
    <row r="169" ht="60" customHeight="1" s="55">
      <c r="A169" s="72">
        <f>IF(D169="","",ROW()-4)</f>
        <v/>
      </c>
      <c r="B169" s="73" t="n"/>
      <c r="C169" s="73" t="n"/>
      <c r="D169" s="74" t="n"/>
      <c r="E169" s="74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2">
        <f>IF(D169="","",SUM(F169:N169))</f>
        <v/>
      </c>
      <c r="P169" s="76">
        <f>IF(D169="","",(F169+G169+H169)*T169+I169*U169+(J169+K169+L169+M169+N169)*V169)</f>
        <v/>
      </c>
      <c r="Q169" s="74" t="n"/>
      <c r="R169" s="77">
        <f>IF(OR(D169="",O169=0),"","🥮 *NUESTRO ALFAJOR*"&amp;CHAR(10)&amp;"Remito N° "&amp;A169&amp;CHAR(10)&amp;"Fecha entrega: "&amp;TEXT(C169,"DD/MM/YYYY")&amp;CHAR(10)&amp;"Cliente: "&amp;D169&amp;IF(E169&lt;&gt;"",", "&amp;E169,"")&amp;CHAR(10)&amp;"................................."&amp;CHAR(10)&amp;IF(F169&gt;0,"Alfajor Maicena x7: "&amp;F169&amp;" pack. x $"&amp;TEXT($T169,"#,##0")&amp;" = $"&amp;TEXT(F169*$T169,"#,##0")&amp;CHAR(10),"")&amp;IF(G169&gt;0,"Alfajor Frutal x7: "&amp;G169&amp;" pack. x $"&amp;TEXT($T169,"#,##0")&amp;" = $"&amp;TEXT(G169*$T169,"#,##0")&amp;CHAR(10),"")&amp;IF(H169&gt;0,"Alfajor Santafesino x7: "&amp;H169&amp;" pack. x $"&amp;TEXT($T169,"#,##0")&amp;" = $"&amp;TEXT(H169*$T169,"#,##0")&amp;CHAR(10),"")&amp;IF(I169&gt;0,"Alfajor Maicena x14: "&amp;I169&amp;" pack. x $"&amp;TEXT($U169,"#,##0")&amp;" = $"&amp;TEXT(I169*$U169,"#,##0")&amp;CHAR(10),"")&amp;IF(J169&gt;0,"Pepas DDL: "&amp;J169&amp;" band. x $"&amp;TEXT($V169,"#,##0")&amp;" = $"&amp;TEXT(J169*$V169,"#,##0")&amp;CHAR(10),"")&amp;IF(K169&gt;0,"Pepas Membrillo: "&amp;K169&amp;" band. x $"&amp;TEXT($V169,"#,##0")&amp;" = $"&amp;TEXT(K169*$V169,"#,##0")&amp;CHAR(10),"")&amp;IF(L169&gt;0,"Pepas Arándano: "&amp;L169&amp;" band. x $"&amp;TEXT($V169,"#,##0")&amp;" = $"&amp;TEXT(L169*$V169,"#,##0")&amp;CHAR(10),"")&amp;IF(M169&gt;0,"Pepas Batata: "&amp;M169&amp;" band. x $"&amp;TEXT($V169,"#,##0")&amp;" = $"&amp;TEXT(M169*$V169,"#,##0")&amp;CHAR(10),"")&amp;IF(N169&gt;0,"Pepas Frutos del Bosque: "&amp;N169&amp;" band. x $"&amp;TEXT($V169,"#,##0")&amp;" = $"&amp;TEXT(N169*$V169,"#,##0")&amp;CHAR(10),"")&amp;"................................."&amp;CHAR(10)&amp;"*TOTAL: $"&amp;TEXT(P169,"#,##0")&amp;"*"&amp;CHAR(10)&amp;CHAR(10)&amp;"¡Gracias por tu pedido! 🙏")</f>
        <v/>
      </c>
      <c r="T169" s="78">
        <f>IF(C169="",Config!$B$5,IF(C169&gt;=Config!$B$2,Config!$C$5,Config!$B$5))</f>
        <v/>
      </c>
      <c r="U169" s="78">
        <f>IF(C169="",Config!$B$8,IF(C169&gt;=Config!$B$2,Config!$C$8,Config!$B$8))</f>
        <v/>
      </c>
      <c r="V169" s="78">
        <f>IF(C169="",Config!$B$9,IF(C169&gt;=Config!$B$2,Config!$C$9,Config!$B$9))</f>
        <v/>
      </c>
    </row>
    <row r="170" ht="60" customHeight="1" s="55">
      <c r="A170" s="72">
        <f>IF(D170="","",ROW()-4)</f>
        <v/>
      </c>
      <c r="B170" s="73" t="n"/>
      <c r="C170" s="73" t="n"/>
      <c r="D170" s="74" t="n"/>
      <c r="E170" s="74" t="n"/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2">
        <f>IF(D170="","",SUM(F170:N170))</f>
        <v/>
      </c>
      <c r="P170" s="76">
        <f>IF(D170="","",(F170+G170+H170)*T170+I170*U170+(J170+K170+L170+M170+N170)*V170)</f>
        <v/>
      </c>
      <c r="Q170" s="74" t="n"/>
      <c r="R170" s="77">
        <f>IF(OR(D170="",O170=0),"","🥮 *NUESTRO ALFAJOR*"&amp;CHAR(10)&amp;"Remito N° "&amp;A170&amp;CHAR(10)&amp;"Fecha entrega: "&amp;TEXT(C170,"DD/MM/YYYY")&amp;CHAR(10)&amp;"Cliente: "&amp;D170&amp;IF(E170&lt;&gt;"",", "&amp;E170,"")&amp;CHAR(10)&amp;"................................."&amp;CHAR(10)&amp;IF(F170&gt;0,"Alfajor Maicena x7: "&amp;F170&amp;" pack. x $"&amp;TEXT($T170,"#,##0")&amp;" = $"&amp;TEXT(F170*$T170,"#,##0")&amp;CHAR(10),"")&amp;IF(G170&gt;0,"Alfajor Frutal x7: "&amp;G170&amp;" pack. x $"&amp;TEXT($T170,"#,##0")&amp;" = $"&amp;TEXT(G170*$T170,"#,##0")&amp;CHAR(10),"")&amp;IF(H170&gt;0,"Alfajor Santafesino x7: "&amp;H170&amp;" pack. x $"&amp;TEXT($T170,"#,##0")&amp;" = $"&amp;TEXT(H170*$T170,"#,##0")&amp;CHAR(10),"")&amp;IF(I170&gt;0,"Alfajor Maicena x14: "&amp;I170&amp;" pack. x $"&amp;TEXT($U170,"#,##0")&amp;" = $"&amp;TEXT(I170*$U170,"#,##0")&amp;CHAR(10),"")&amp;IF(J170&gt;0,"Pepas DDL: "&amp;J170&amp;" band. x $"&amp;TEXT($V170,"#,##0")&amp;" = $"&amp;TEXT(J170*$V170,"#,##0")&amp;CHAR(10),"")&amp;IF(K170&gt;0,"Pepas Membrillo: "&amp;K170&amp;" band. x $"&amp;TEXT($V170,"#,##0")&amp;" = $"&amp;TEXT(K170*$V170,"#,##0")&amp;CHAR(10),"")&amp;IF(L170&gt;0,"Pepas Arándano: "&amp;L170&amp;" band. x $"&amp;TEXT($V170,"#,##0")&amp;" = $"&amp;TEXT(L170*$V170,"#,##0")&amp;CHAR(10),"")&amp;IF(M170&gt;0,"Pepas Batata: "&amp;M170&amp;" band. x $"&amp;TEXT($V170,"#,##0")&amp;" = $"&amp;TEXT(M170*$V170,"#,##0")&amp;CHAR(10),"")&amp;IF(N170&gt;0,"Pepas Frutos del Bosque: "&amp;N170&amp;" band. x $"&amp;TEXT($V170,"#,##0")&amp;" = $"&amp;TEXT(N170*$V170,"#,##0")&amp;CHAR(10),"")&amp;"................................."&amp;CHAR(10)&amp;"*TOTAL: $"&amp;TEXT(P170,"#,##0")&amp;"*"&amp;CHAR(10)&amp;CHAR(10)&amp;"¡Gracias por tu pedido! 🙏")</f>
        <v/>
      </c>
      <c r="T170" s="78">
        <f>IF(C170="",Config!$B$5,IF(C170&gt;=Config!$B$2,Config!$C$5,Config!$B$5))</f>
        <v/>
      </c>
      <c r="U170" s="78">
        <f>IF(C170="",Config!$B$8,IF(C170&gt;=Config!$B$2,Config!$C$8,Config!$B$8))</f>
        <v/>
      </c>
      <c r="V170" s="78">
        <f>IF(C170="",Config!$B$9,IF(C170&gt;=Config!$B$2,Config!$C$9,Config!$B$9))</f>
        <v/>
      </c>
    </row>
    <row r="171" ht="60" customHeight="1" s="55">
      <c r="A171" s="72">
        <f>IF(D171="","",ROW()-4)</f>
        <v/>
      </c>
      <c r="B171" s="73" t="n"/>
      <c r="C171" s="73" t="n"/>
      <c r="D171" s="74" t="n"/>
      <c r="E171" s="74" t="n"/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2">
        <f>IF(D171="","",SUM(F171:N171))</f>
        <v/>
      </c>
      <c r="P171" s="76">
        <f>IF(D171="","",(F171+G171+H171)*T171+I171*U171+(J171+K171+L171+M171+N171)*V171)</f>
        <v/>
      </c>
      <c r="Q171" s="74" t="n"/>
      <c r="R171" s="77">
        <f>IF(OR(D171="",O171=0),"","🥮 *NUESTRO ALFAJOR*"&amp;CHAR(10)&amp;"Remito N° "&amp;A171&amp;CHAR(10)&amp;"Fecha entrega: "&amp;TEXT(C171,"DD/MM/YYYY")&amp;CHAR(10)&amp;"Cliente: "&amp;D171&amp;IF(E171&lt;&gt;"",", "&amp;E171,"")&amp;CHAR(10)&amp;"................................."&amp;CHAR(10)&amp;IF(F171&gt;0,"Alfajor Maicena x7: "&amp;F171&amp;" pack. x $"&amp;TEXT($T171,"#,##0")&amp;" = $"&amp;TEXT(F171*$T171,"#,##0")&amp;CHAR(10),"")&amp;IF(G171&gt;0,"Alfajor Frutal x7: "&amp;G171&amp;" pack. x $"&amp;TEXT($T171,"#,##0")&amp;" = $"&amp;TEXT(G171*$T171,"#,##0")&amp;CHAR(10),"")&amp;IF(H171&gt;0,"Alfajor Santafesino x7: "&amp;H171&amp;" pack. x $"&amp;TEXT($T171,"#,##0")&amp;" = $"&amp;TEXT(H171*$T171,"#,##0")&amp;CHAR(10),"")&amp;IF(I171&gt;0,"Alfajor Maicena x14: "&amp;I171&amp;" pack. x $"&amp;TEXT($U171,"#,##0")&amp;" = $"&amp;TEXT(I171*$U171,"#,##0")&amp;CHAR(10),"")&amp;IF(J171&gt;0,"Pepas DDL: "&amp;J171&amp;" band. x $"&amp;TEXT($V171,"#,##0")&amp;" = $"&amp;TEXT(J171*$V171,"#,##0")&amp;CHAR(10),"")&amp;IF(K171&gt;0,"Pepas Membrillo: "&amp;K171&amp;" band. x $"&amp;TEXT($V171,"#,##0")&amp;" = $"&amp;TEXT(K171*$V171,"#,##0")&amp;CHAR(10),"")&amp;IF(L171&gt;0,"Pepas Arándano: "&amp;L171&amp;" band. x $"&amp;TEXT($V171,"#,##0")&amp;" = $"&amp;TEXT(L171*$V171,"#,##0")&amp;CHAR(10),"")&amp;IF(M171&gt;0,"Pepas Batata: "&amp;M171&amp;" band. x $"&amp;TEXT($V171,"#,##0")&amp;" = $"&amp;TEXT(M171*$V171,"#,##0")&amp;CHAR(10),"")&amp;IF(N171&gt;0,"Pepas Frutos del Bosque: "&amp;N171&amp;" band. x $"&amp;TEXT($V171,"#,##0")&amp;" = $"&amp;TEXT(N171*$V171,"#,##0")&amp;CHAR(10),"")&amp;"................................."&amp;CHAR(10)&amp;"*TOTAL: $"&amp;TEXT(P171,"#,##0")&amp;"*"&amp;CHAR(10)&amp;CHAR(10)&amp;"¡Gracias por tu pedido! 🙏")</f>
        <v/>
      </c>
      <c r="T171" s="78">
        <f>IF(C171="",Config!$B$5,IF(C171&gt;=Config!$B$2,Config!$C$5,Config!$B$5))</f>
        <v/>
      </c>
      <c r="U171" s="78">
        <f>IF(C171="",Config!$B$8,IF(C171&gt;=Config!$B$2,Config!$C$8,Config!$B$8))</f>
        <v/>
      </c>
      <c r="V171" s="78">
        <f>IF(C171="",Config!$B$9,IF(C171&gt;=Config!$B$2,Config!$C$9,Config!$B$9))</f>
        <v/>
      </c>
    </row>
    <row r="172" ht="60" customHeight="1" s="55">
      <c r="A172" s="72">
        <f>IF(D172="","",ROW()-4)</f>
        <v/>
      </c>
      <c r="B172" s="73" t="n"/>
      <c r="C172" s="73" t="n"/>
      <c r="D172" s="74" t="n"/>
      <c r="E172" s="74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2">
        <f>IF(D172="","",SUM(F172:N172))</f>
        <v/>
      </c>
      <c r="P172" s="76">
        <f>IF(D172="","",(F172+G172+H172)*T172+I172*U172+(J172+K172+L172+M172+N172)*V172)</f>
        <v/>
      </c>
      <c r="Q172" s="74" t="n"/>
      <c r="R172" s="77">
        <f>IF(OR(D172="",O172=0),"","🥮 *NUESTRO ALFAJOR*"&amp;CHAR(10)&amp;"Remito N° "&amp;A172&amp;CHAR(10)&amp;"Fecha entrega: "&amp;TEXT(C172,"DD/MM/YYYY")&amp;CHAR(10)&amp;"Cliente: "&amp;D172&amp;IF(E172&lt;&gt;"",", "&amp;E172,"")&amp;CHAR(10)&amp;"................................."&amp;CHAR(10)&amp;IF(F172&gt;0,"Alfajor Maicena x7: "&amp;F172&amp;" pack. x $"&amp;TEXT($T172,"#,##0")&amp;" = $"&amp;TEXT(F172*$T172,"#,##0")&amp;CHAR(10),"")&amp;IF(G172&gt;0,"Alfajor Frutal x7: "&amp;G172&amp;" pack. x $"&amp;TEXT($T172,"#,##0")&amp;" = $"&amp;TEXT(G172*$T172,"#,##0")&amp;CHAR(10),"")&amp;IF(H172&gt;0,"Alfajor Santafesino x7: "&amp;H172&amp;" pack. x $"&amp;TEXT($T172,"#,##0")&amp;" = $"&amp;TEXT(H172*$T172,"#,##0")&amp;CHAR(10),"")&amp;IF(I172&gt;0,"Alfajor Maicena x14: "&amp;I172&amp;" pack. x $"&amp;TEXT($U172,"#,##0")&amp;" = $"&amp;TEXT(I172*$U172,"#,##0")&amp;CHAR(10),"")&amp;IF(J172&gt;0,"Pepas DDL: "&amp;J172&amp;" band. x $"&amp;TEXT($V172,"#,##0")&amp;" = $"&amp;TEXT(J172*$V172,"#,##0")&amp;CHAR(10),"")&amp;IF(K172&gt;0,"Pepas Membrillo: "&amp;K172&amp;" band. x $"&amp;TEXT($V172,"#,##0")&amp;" = $"&amp;TEXT(K172*$V172,"#,##0")&amp;CHAR(10),"")&amp;IF(L172&gt;0,"Pepas Arándano: "&amp;L172&amp;" band. x $"&amp;TEXT($V172,"#,##0")&amp;" = $"&amp;TEXT(L172*$V172,"#,##0")&amp;CHAR(10),"")&amp;IF(M172&gt;0,"Pepas Batata: "&amp;M172&amp;" band. x $"&amp;TEXT($V172,"#,##0")&amp;" = $"&amp;TEXT(M172*$V172,"#,##0")&amp;CHAR(10),"")&amp;IF(N172&gt;0,"Pepas Frutos del Bosque: "&amp;N172&amp;" band. x $"&amp;TEXT($V172,"#,##0")&amp;" = $"&amp;TEXT(N172*$V172,"#,##0")&amp;CHAR(10),"")&amp;"................................."&amp;CHAR(10)&amp;"*TOTAL: $"&amp;TEXT(P172,"#,##0")&amp;"*"&amp;CHAR(10)&amp;CHAR(10)&amp;"¡Gracias por tu pedido! 🙏")</f>
        <v/>
      </c>
      <c r="T172" s="78">
        <f>IF(C172="",Config!$B$5,IF(C172&gt;=Config!$B$2,Config!$C$5,Config!$B$5))</f>
        <v/>
      </c>
      <c r="U172" s="78">
        <f>IF(C172="",Config!$B$8,IF(C172&gt;=Config!$B$2,Config!$C$8,Config!$B$8))</f>
        <v/>
      </c>
      <c r="V172" s="78">
        <f>IF(C172="",Config!$B$9,IF(C172&gt;=Config!$B$2,Config!$C$9,Config!$B$9))</f>
        <v/>
      </c>
    </row>
    <row r="173" ht="60" customHeight="1" s="55">
      <c r="A173" s="72">
        <f>IF(D173="","",ROW()-4)</f>
        <v/>
      </c>
      <c r="B173" s="73" t="n"/>
      <c r="C173" s="73" t="n"/>
      <c r="D173" s="74" t="n"/>
      <c r="E173" s="74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2">
        <f>IF(D173="","",SUM(F173:N173))</f>
        <v/>
      </c>
      <c r="P173" s="76">
        <f>IF(D173="","",(F173+G173+H173)*T173+I173*U173+(J173+K173+L173+M173+N173)*V173)</f>
        <v/>
      </c>
      <c r="Q173" s="74" t="n"/>
      <c r="R173" s="77">
        <f>IF(OR(D173="",O173=0),"","🥮 *NUESTRO ALFAJOR*"&amp;CHAR(10)&amp;"Remito N° "&amp;A173&amp;CHAR(10)&amp;"Fecha entrega: "&amp;TEXT(C173,"DD/MM/YYYY")&amp;CHAR(10)&amp;"Cliente: "&amp;D173&amp;IF(E173&lt;&gt;"",", "&amp;E173,"")&amp;CHAR(10)&amp;"................................."&amp;CHAR(10)&amp;IF(F173&gt;0,"Alfajor Maicena x7: "&amp;F173&amp;" pack. x $"&amp;TEXT($T173,"#,##0")&amp;" = $"&amp;TEXT(F173*$T173,"#,##0")&amp;CHAR(10),"")&amp;IF(G173&gt;0,"Alfajor Frutal x7: "&amp;G173&amp;" pack. x $"&amp;TEXT($T173,"#,##0")&amp;" = $"&amp;TEXT(G173*$T173,"#,##0")&amp;CHAR(10),"")&amp;IF(H173&gt;0,"Alfajor Santafesino x7: "&amp;H173&amp;" pack. x $"&amp;TEXT($T173,"#,##0")&amp;" = $"&amp;TEXT(H173*$T173,"#,##0")&amp;CHAR(10),"")&amp;IF(I173&gt;0,"Alfajor Maicena x14: "&amp;I173&amp;" pack. x $"&amp;TEXT($U173,"#,##0")&amp;" = $"&amp;TEXT(I173*$U173,"#,##0")&amp;CHAR(10),"")&amp;IF(J173&gt;0,"Pepas DDL: "&amp;J173&amp;" band. x $"&amp;TEXT($V173,"#,##0")&amp;" = $"&amp;TEXT(J173*$V173,"#,##0")&amp;CHAR(10),"")&amp;IF(K173&gt;0,"Pepas Membrillo: "&amp;K173&amp;" band. x $"&amp;TEXT($V173,"#,##0")&amp;" = $"&amp;TEXT(K173*$V173,"#,##0")&amp;CHAR(10),"")&amp;IF(L173&gt;0,"Pepas Arándano: "&amp;L173&amp;" band. x $"&amp;TEXT($V173,"#,##0")&amp;" = $"&amp;TEXT(L173*$V173,"#,##0")&amp;CHAR(10),"")&amp;IF(M173&gt;0,"Pepas Batata: "&amp;M173&amp;" band. x $"&amp;TEXT($V173,"#,##0")&amp;" = $"&amp;TEXT(M173*$V173,"#,##0")&amp;CHAR(10),"")&amp;IF(N173&gt;0,"Pepas Frutos del Bosque: "&amp;N173&amp;" band. x $"&amp;TEXT($V173,"#,##0")&amp;" = $"&amp;TEXT(N173*$V173,"#,##0")&amp;CHAR(10),"")&amp;"................................."&amp;CHAR(10)&amp;"*TOTAL: $"&amp;TEXT(P173,"#,##0")&amp;"*"&amp;CHAR(10)&amp;CHAR(10)&amp;"¡Gracias por tu pedido! 🙏")</f>
        <v/>
      </c>
      <c r="T173" s="78">
        <f>IF(C173="",Config!$B$5,IF(C173&gt;=Config!$B$2,Config!$C$5,Config!$B$5))</f>
        <v/>
      </c>
      <c r="U173" s="78">
        <f>IF(C173="",Config!$B$8,IF(C173&gt;=Config!$B$2,Config!$C$8,Config!$B$8))</f>
        <v/>
      </c>
      <c r="V173" s="78">
        <f>IF(C173="",Config!$B$9,IF(C173&gt;=Config!$B$2,Config!$C$9,Config!$B$9))</f>
        <v/>
      </c>
    </row>
    <row r="174" ht="60" customHeight="1" s="55">
      <c r="A174" s="72">
        <f>IF(D174="","",ROW()-4)</f>
        <v/>
      </c>
      <c r="B174" s="73" t="n"/>
      <c r="C174" s="73" t="n"/>
      <c r="D174" s="74" t="n"/>
      <c r="E174" s="74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2">
        <f>IF(D174="","",SUM(F174:N174))</f>
        <v/>
      </c>
      <c r="P174" s="76">
        <f>IF(D174="","",(F174+G174+H174)*T174+I174*U174+(J174+K174+L174+M174+N174)*V174)</f>
        <v/>
      </c>
      <c r="Q174" s="74" t="n"/>
      <c r="R174" s="77">
        <f>IF(OR(D174="",O174=0),"","🥮 *NUESTRO ALFAJOR*"&amp;CHAR(10)&amp;"Remito N° "&amp;A174&amp;CHAR(10)&amp;"Fecha entrega: "&amp;TEXT(C174,"DD/MM/YYYY")&amp;CHAR(10)&amp;"Cliente: "&amp;D174&amp;IF(E174&lt;&gt;"",", "&amp;E174,"")&amp;CHAR(10)&amp;"................................."&amp;CHAR(10)&amp;IF(F174&gt;0,"Alfajor Maicena x7: "&amp;F174&amp;" pack. x $"&amp;TEXT($T174,"#,##0")&amp;" = $"&amp;TEXT(F174*$T174,"#,##0")&amp;CHAR(10),"")&amp;IF(G174&gt;0,"Alfajor Frutal x7: "&amp;G174&amp;" pack. x $"&amp;TEXT($T174,"#,##0")&amp;" = $"&amp;TEXT(G174*$T174,"#,##0")&amp;CHAR(10),"")&amp;IF(H174&gt;0,"Alfajor Santafesino x7: "&amp;H174&amp;" pack. x $"&amp;TEXT($T174,"#,##0")&amp;" = $"&amp;TEXT(H174*$T174,"#,##0")&amp;CHAR(10),"")&amp;IF(I174&gt;0,"Alfajor Maicena x14: "&amp;I174&amp;" pack. x $"&amp;TEXT($U174,"#,##0")&amp;" = $"&amp;TEXT(I174*$U174,"#,##0")&amp;CHAR(10),"")&amp;IF(J174&gt;0,"Pepas DDL: "&amp;J174&amp;" band. x $"&amp;TEXT($V174,"#,##0")&amp;" = $"&amp;TEXT(J174*$V174,"#,##0")&amp;CHAR(10),"")&amp;IF(K174&gt;0,"Pepas Membrillo: "&amp;K174&amp;" band. x $"&amp;TEXT($V174,"#,##0")&amp;" = $"&amp;TEXT(K174*$V174,"#,##0")&amp;CHAR(10),"")&amp;IF(L174&gt;0,"Pepas Arándano: "&amp;L174&amp;" band. x $"&amp;TEXT($V174,"#,##0")&amp;" = $"&amp;TEXT(L174*$V174,"#,##0")&amp;CHAR(10),"")&amp;IF(M174&gt;0,"Pepas Batata: "&amp;M174&amp;" band. x $"&amp;TEXT($V174,"#,##0")&amp;" = $"&amp;TEXT(M174*$V174,"#,##0")&amp;CHAR(10),"")&amp;IF(N174&gt;0,"Pepas Frutos del Bosque: "&amp;N174&amp;" band. x $"&amp;TEXT($V174,"#,##0")&amp;" = $"&amp;TEXT(N174*$V174,"#,##0")&amp;CHAR(10),"")&amp;"................................."&amp;CHAR(10)&amp;"*TOTAL: $"&amp;TEXT(P174,"#,##0")&amp;"*"&amp;CHAR(10)&amp;CHAR(10)&amp;"¡Gracias por tu pedido! 🙏")</f>
        <v/>
      </c>
      <c r="T174" s="78">
        <f>IF(C174="",Config!$B$5,IF(C174&gt;=Config!$B$2,Config!$C$5,Config!$B$5))</f>
        <v/>
      </c>
      <c r="U174" s="78">
        <f>IF(C174="",Config!$B$8,IF(C174&gt;=Config!$B$2,Config!$C$8,Config!$B$8))</f>
        <v/>
      </c>
      <c r="V174" s="78">
        <f>IF(C174="",Config!$B$9,IF(C174&gt;=Config!$B$2,Config!$C$9,Config!$B$9))</f>
        <v/>
      </c>
    </row>
    <row r="175" ht="60" customHeight="1" s="55">
      <c r="A175" s="72">
        <f>IF(D175="","",ROW()-4)</f>
        <v/>
      </c>
      <c r="B175" s="73" t="n"/>
      <c r="C175" s="73" t="n"/>
      <c r="D175" s="74" t="n"/>
      <c r="E175" s="74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2">
        <f>IF(D175="","",SUM(F175:N175))</f>
        <v/>
      </c>
      <c r="P175" s="76">
        <f>IF(D175="","",(F175+G175+H175)*T175+I175*U175+(J175+K175+L175+M175+N175)*V175)</f>
        <v/>
      </c>
      <c r="Q175" s="74" t="n"/>
      <c r="R175" s="77">
        <f>IF(OR(D175="",O175=0),"","🥮 *NUESTRO ALFAJOR*"&amp;CHAR(10)&amp;"Remito N° "&amp;A175&amp;CHAR(10)&amp;"Fecha entrega: "&amp;TEXT(C175,"DD/MM/YYYY")&amp;CHAR(10)&amp;"Cliente: "&amp;D175&amp;IF(E175&lt;&gt;"",", "&amp;E175,"")&amp;CHAR(10)&amp;"................................."&amp;CHAR(10)&amp;IF(F175&gt;0,"Alfajor Maicena x7: "&amp;F175&amp;" pack. x $"&amp;TEXT($T175,"#,##0")&amp;" = $"&amp;TEXT(F175*$T175,"#,##0")&amp;CHAR(10),"")&amp;IF(G175&gt;0,"Alfajor Frutal x7: "&amp;G175&amp;" pack. x $"&amp;TEXT($T175,"#,##0")&amp;" = $"&amp;TEXT(G175*$T175,"#,##0")&amp;CHAR(10),"")&amp;IF(H175&gt;0,"Alfajor Santafesino x7: "&amp;H175&amp;" pack. x $"&amp;TEXT($T175,"#,##0")&amp;" = $"&amp;TEXT(H175*$T175,"#,##0")&amp;CHAR(10),"")&amp;IF(I175&gt;0,"Alfajor Maicena x14: "&amp;I175&amp;" pack. x $"&amp;TEXT($U175,"#,##0")&amp;" = $"&amp;TEXT(I175*$U175,"#,##0")&amp;CHAR(10),"")&amp;IF(J175&gt;0,"Pepas DDL: "&amp;J175&amp;" band. x $"&amp;TEXT($V175,"#,##0")&amp;" = $"&amp;TEXT(J175*$V175,"#,##0")&amp;CHAR(10),"")&amp;IF(K175&gt;0,"Pepas Membrillo: "&amp;K175&amp;" band. x $"&amp;TEXT($V175,"#,##0")&amp;" = $"&amp;TEXT(K175*$V175,"#,##0")&amp;CHAR(10),"")&amp;IF(L175&gt;0,"Pepas Arándano: "&amp;L175&amp;" band. x $"&amp;TEXT($V175,"#,##0")&amp;" = $"&amp;TEXT(L175*$V175,"#,##0")&amp;CHAR(10),"")&amp;IF(M175&gt;0,"Pepas Batata: "&amp;M175&amp;" band. x $"&amp;TEXT($V175,"#,##0")&amp;" = $"&amp;TEXT(M175*$V175,"#,##0")&amp;CHAR(10),"")&amp;IF(N175&gt;0,"Pepas Frutos del Bosque: "&amp;N175&amp;" band. x $"&amp;TEXT($V175,"#,##0")&amp;" = $"&amp;TEXT(N175*$V175,"#,##0")&amp;CHAR(10),"")&amp;"................................."&amp;CHAR(10)&amp;"*TOTAL: $"&amp;TEXT(P175,"#,##0")&amp;"*"&amp;CHAR(10)&amp;CHAR(10)&amp;"¡Gracias por tu pedido! 🙏")</f>
        <v/>
      </c>
      <c r="T175" s="78">
        <f>IF(C175="",Config!$B$5,IF(C175&gt;=Config!$B$2,Config!$C$5,Config!$B$5))</f>
        <v/>
      </c>
      <c r="U175" s="78">
        <f>IF(C175="",Config!$B$8,IF(C175&gt;=Config!$B$2,Config!$C$8,Config!$B$8))</f>
        <v/>
      </c>
      <c r="V175" s="78">
        <f>IF(C175="",Config!$B$9,IF(C175&gt;=Config!$B$2,Config!$C$9,Config!$B$9))</f>
        <v/>
      </c>
    </row>
    <row r="176" ht="60" customHeight="1" s="55">
      <c r="A176" s="72">
        <f>IF(D176="","",ROW()-4)</f>
        <v/>
      </c>
      <c r="B176" s="73" t="n"/>
      <c r="C176" s="73" t="n"/>
      <c r="D176" s="74" t="n"/>
      <c r="E176" s="74" t="n"/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2">
        <f>IF(D176="","",SUM(F176:N176))</f>
        <v/>
      </c>
      <c r="P176" s="76">
        <f>IF(D176="","",(F176+G176+H176)*T176+I176*U176+(J176+K176+L176+M176+N176)*V176)</f>
        <v/>
      </c>
      <c r="Q176" s="74" t="n"/>
      <c r="R176" s="77">
        <f>IF(OR(D176="",O176=0),"","🥮 *NUESTRO ALFAJOR*"&amp;CHAR(10)&amp;"Remito N° "&amp;A176&amp;CHAR(10)&amp;"Fecha entrega: "&amp;TEXT(C176,"DD/MM/YYYY")&amp;CHAR(10)&amp;"Cliente: "&amp;D176&amp;IF(E176&lt;&gt;"",", "&amp;E176,"")&amp;CHAR(10)&amp;"................................."&amp;CHAR(10)&amp;IF(F176&gt;0,"Alfajor Maicena x7: "&amp;F176&amp;" pack. x $"&amp;TEXT($T176,"#,##0")&amp;" = $"&amp;TEXT(F176*$T176,"#,##0")&amp;CHAR(10),"")&amp;IF(G176&gt;0,"Alfajor Frutal x7: "&amp;G176&amp;" pack. x $"&amp;TEXT($T176,"#,##0")&amp;" = $"&amp;TEXT(G176*$T176,"#,##0")&amp;CHAR(10),"")&amp;IF(H176&gt;0,"Alfajor Santafesino x7: "&amp;H176&amp;" pack. x $"&amp;TEXT($T176,"#,##0")&amp;" = $"&amp;TEXT(H176*$T176,"#,##0")&amp;CHAR(10),"")&amp;IF(I176&gt;0,"Alfajor Maicena x14: "&amp;I176&amp;" pack. x $"&amp;TEXT($U176,"#,##0")&amp;" = $"&amp;TEXT(I176*$U176,"#,##0")&amp;CHAR(10),"")&amp;IF(J176&gt;0,"Pepas DDL: "&amp;J176&amp;" band. x $"&amp;TEXT($V176,"#,##0")&amp;" = $"&amp;TEXT(J176*$V176,"#,##0")&amp;CHAR(10),"")&amp;IF(K176&gt;0,"Pepas Membrillo: "&amp;K176&amp;" band. x $"&amp;TEXT($V176,"#,##0")&amp;" = $"&amp;TEXT(K176*$V176,"#,##0")&amp;CHAR(10),"")&amp;IF(L176&gt;0,"Pepas Arándano: "&amp;L176&amp;" band. x $"&amp;TEXT($V176,"#,##0")&amp;" = $"&amp;TEXT(L176*$V176,"#,##0")&amp;CHAR(10),"")&amp;IF(M176&gt;0,"Pepas Batata: "&amp;M176&amp;" band. x $"&amp;TEXT($V176,"#,##0")&amp;" = $"&amp;TEXT(M176*$V176,"#,##0")&amp;CHAR(10),"")&amp;IF(N176&gt;0,"Pepas Frutos del Bosque: "&amp;N176&amp;" band. x $"&amp;TEXT($V176,"#,##0")&amp;" = $"&amp;TEXT(N176*$V176,"#,##0")&amp;CHAR(10),"")&amp;"................................."&amp;CHAR(10)&amp;"*TOTAL: $"&amp;TEXT(P176,"#,##0")&amp;"*"&amp;CHAR(10)&amp;CHAR(10)&amp;"¡Gracias por tu pedido! 🙏")</f>
        <v/>
      </c>
      <c r="T176" s="78">
        <f>IF(C176="",Config!$B$5,IF(C176&gt;=Config!$B$2,Config!$C$5,Config!$B$5))</f>
        <v/>
      </c>
      <c r="U176" s="78">
        <f>IF(C176="",Config!$B$8,IF(C176&gt;=Config!$B$2,Config!$C$8,Config!$B$8))</f>
        <v/>
      </c>
      <c r="V176" s="78">
        <f>IF(C176="",Config!$B$9,IF(C176&gt;=Config!$B$2,Config!$C$9,Config!$B$9))</f>
        <v/>
      </c>
    </row>
    <row r="177" ht="60" customHeight="1" s="55">
      <c r="A177" s="72">
        <f>IF(D177="","",ROW()-4)</f>
        <v/>
      </c>
      <c r="B177" s="73" t="n"/>
      <c r="C177" s="73" t="n"/>
      <c r="D177" s="74" t="n"/>
      <c r="E177" s="74" t="n"/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2">
        <f>IF(D177="","",SUM(F177:N177))</f>
        <v/>
      </c>
      <c r="P177" s="76">
        <f>IF(D177="","",(F177+G177+H177)*T177+I177*U177+(J177+K177+L177+M177+N177)*V177)</f>
        <v/>
      </c>
      <c r="Q177" s="74" t="n"/>
      <c r="R177" s="77">
        <f>IF(OR(D177="",O177=0),"","🥮 *NUESTRO ALFAJOR*"&amp;CHAR(10)&amp;"Remito N° "&amp;A177&amp;CHAR(10)&amp;"Fecha entrega: "&amp;TEXT(C177,"DD/MM/YYYY")&amp;CHAR(10)&amp;"Cliente: "&amp;D177&amp;IF(E177&lt;&gt;"",", "&amp;E177,"")&amp;CHAR(10)&amp;"................................."&amp;CHAR(10)&amp;IF(F177&gt;0,"Alfajor Maicena x7: "&amp;F177&amp;" pack. x $"&amp;TEXT($T177,"#,##0")&amp;" = $"&amp;TEXT(F177*$T177,"#,##0")&amp;CHAR(10),"")&amp;IF(G177&gt;0,"Alfajor Frutal x7: "&amp;G177&amp;" pack. x $"&amp;TEXT($T177,"#,##0")&amp;" = $"&amp;TEXT(G177*$T177,"#,##0")&amp;CHAR(10),"")&amp;IF(H177&gt;0,"Alfajor Santafesino x7: "&amp;H177&amp;" pack. x $"&amp;TEXT($T177,"#,##0")&amp;" = $"&amp;TEXT(H177*$T177,"#,##0")&amp;CHAR(10),"")&amp;IF(I177&gt;0,"Alfajor Maicena x14: "&amp;I177&amp;" pack. x $"&amp;TEXT($U177,"#,##0")&amp;" = $"&amp;TEXT(I177*$U177,"#,##0")&amp;CHAR(10),"")&amp;IF(J177&gt;0,"Pepas DDL: "&amp;J177&amp;" band. x $"&amp;TEXT($V177,"#,##0")&amp;" = $"&amp;TEXT(J177*$V177,"#,##0")&amp;CHAR(10),"")&amp;IF(K177&gt;0,"Pepas Membrillo: "&amp;K177&amp;" band. x $"&amp;TEXT($V177,"#,##0")&amp;" = $"&amp;TEXT(K177*$V177,"#,##0")&amp;CHAR(10),"")&amp;IF(L177&gt;0,"Pepas Arándano: "&amp;L177&amp;" band. x $"&amp;TEXT($V177,"#,##0")&amp;" = $"&amp;TEXT(L177*$V177,"#,##0")&amp;CHAR(10),"")&amp;IF(M177&gt;0,"Pepas Batata: "&amp;M177&amp;" band. x $"&amp;TEXT($V177,"#,##0")&amp;" = $"&amp;TEXT(M177*$V177,"#,##0")&amp;CHAR(10),"")&amp;IF(N177&gt;0,"Pepas Frutos del Bosque: "&amp;N177&amp;" band. x $"&amp;TEXT($V177,"#,##0")&amp;" = $"&amp;TEXT(N177*$V177,"#,##0")&amp;CHAR(10),"")&amp;"................................."&amp;CHAR(10)&amp;"*TOTAL: $"&amp;TEXT(P177,"#,##0")&amp;"*"&amp;CHAR(10)&amp;CHAR(10)&amp;"¡Gracias por tu pedido! 🙏")</f>
        <v/>
      </c>
      <c r="T177" s="78">
        <f>IF(C177="",Config!$B$5,IF(C177&gt;=Config!$B$2,Config!$C$5,Config!$B$5))</f>
        <v/>
      </c>
      <c r="U177" s="78">
        <f>IF(C177="",Config!$B$8,IF(C177&gt;=Config!$B$2,Config!$C$8,Config!$B$8))</f>
        <v/>
      </c>
      <c r="V177" s="78">
        <f>IF(C177="",Config!$B$9,IF(C177&gt;=Config!$B$2,Config!$C$9,Config!$B$9))</f>
        <v/>
      </c>
    </row>
    <row r="178" ht="60" customHeight="1" s="55">
      <c r="A178" s="72">
        <f>IF(D178="","",ROW()-4)</f>
        <v/>
      </c>
      <c r="B178" s="73" t="n"/>
      <c r="C178" s="73" t="n"/>
      <c r="D178" s="74" t="n"/>
      <c r="E178" s="74" t="n"/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2">
        <f>IF(D178="","",SUM(F178:N178))</f>
        <v/>
      </c>
      <c r="P178" s="76">
        <f>IF(D178="","",(F178+G178+H178)*T178+I178*U178+(J178+K178+L178+M178+N178)*V178)</f>
        <v/>
      </c>
      <c r="Q178" s="74" t="n"/>
      <c r="R178" s="77">
        <f>IF(OR(D178="",O178=0),"","🥮 *NUESTRO ALFAJOR*"&amp;CHAR(10)&amp;"Remito N° "&amp;A178&amp;CHAR(10)&amp;"Fecha entrega: "&amp;TEXT(C178,"DD/MM/YYYY")&amp;CHAR(10)&amp;"Cliente: "&amp;D178&amp;IF(E178&lt;&gt;"",", "&amp;E178,"")&amp;CHAR(10)&amp;"................................."&amp;CHAR(10)&amp;IF(F178&gt;0,"Alfajor Maicena x7: "&amp;F178&amp;" pack. x $"&amp;TEXT($T178,"#,##0")&amp;" = $"&amp;TEXT(F178*$T178,"#,##0")&amp;CHAR(10),"")&amp;IF(G178&gt;0,"Alfajor Frutal x7: "&amp;G178&amp;" pack. x $"&amp;TEXT($T178,"#,##0")&amp;" = $"&amp;TEXT(G178*$T178,"#,##0")&amp;CHAR(10),"")&amp;IF(H178&gt;0,"Alfajor Santafesino x7: "&amp;H178&amp;" pack. x $"&amp;TEXT($T178,"#,##0")&amp;" = $"&amp;TEXT(H178*$T178,"#,##0")&amp;CHAR(10),"")&amp;IF(I178&gt;0,"Alfajor Maicena x14: "&amp;I178&amp;" pack. x $"&amp;TEXT($U178,"#,##0")&amp;" = $"&amp;TEXT(I178*$U178,"#,##0")&amp;CHAR(10),"")&amp;IF(J178&gt;0,"Pepas DDL: "&amp;J178&amp;" band. x $"&amp;TEXT($V178,"#,##0")&amp;" = $"&amp;TEXT(J178*$V178,"#,##0")&amp;CHAR(10),"")&amp;IF(K178&gt;0,"Pepas Membrillo: "&amp;K178&amp;" band. x $"&amp;TEXT($V178,"#,##0")&amp;" = $"&amp;TEXT(K178*$V178,"#,##0")&amp;CHAR(10),"")&amp;IF(L178&gt;0,"Pepas Arándano: "&amp;L178&amp;" band. x $"&amp;TEXT($V178,"#,##0")&amp;" = $"&amp;TEXT(L178*$V178,"#,##0")&amp;CHAR(10),"")&amp;IF(M178&gt;0,"Pepas Batata: "&amp;M178&amp;" band. x $"&amp;TEXT($V178,"#,##0")&amp;" = $"&amp;TEXT(M178*$V178,"#,##0")&amp;CHAR(10),"")&amp;IF(N178&gt;0,"Pepas Frutos del Bosque: "&amp;N178&amp;" band. x $"&amp;TEXT($V178,"#,##0")&amp;" = $"&amp;TEXT(N178*$V178,"#,##0")&amp;CHAR(10),"")&amp;"................................."&amp;CHAR(10)&amp;"*TOTAL: $"&amp;TEXT(P178,"#,##0")&amp;"*"&amp;CHAR(10)&amp;CHAR(10)&amp;"¡Gracias por tu pedido! 🙏")</f>
        <v/>
      </c>
      <c r="T178" s="78">
        <f>IF(C178="",Config!$B$5,IF(C178&gt;=Config!$B$2,Config!$C$5,Config!$B$5))</f>
        <v/>
      </c>
      <c r="U178" s="78">
        <f>IF(C178="",Config!$B$8,IF(C178&gt;=Config!$B$2,Config!$C$8,Config!$B$8))</f>
        <v/>
      </c>
      <c r="V178" s="78">
        <f>IF(C178="",Config!$B$9,IF(C178&gt;=Config!$B$2,Config!$C$9,Config!$B$9))</f>
        <v/>
      </c>
    </row>
    <row r="179" ht="60" customHeight="1" s="55">
      <c r="A179" s="72">
        <f>IF(D179="","",ROW()-4)</f>
        <v/>
      </c>
      <c r="B179" s="73" t="n"/>
      <c r="C179" s="73" t="n"/>
      <c r="D179" s="74" t="n"/>
      <c r="E179" s="74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2">
        <f>IF(D179="","",SUM(F179:N179))</f>
        <v/>
      </c>
      <c r="P179" s="76">
        <f>IF(D179="","",(F179+G179+H179)*T179+I179*U179+(J179+K179+L179+M179+N179)*V179)</f>
        <v/>
      </c>
      <c r="Q179" s="74" t="n"/>
      <c r="R179" s="77">
        <f>IF(OR(D179="",O179=0),"","🥮 *NUESTRO ALFAJOR*"&amp;CHAR(10)&amp;"Remito N° "&amp;A179&amp;CHAR(10)&amp;"Fecha entrega: "&amp;TEXT(C179,"DD/MM/YYYY")&amp;CHAR(10)&amp;"Cliente: "&amp;D179&amp;IF(E179&lt;&gt;"",", "&amp;E179,"")&amp;CHAR(10)&amp;"................................."&amp;CHAR(10)&amp;IF(F179&gt;0,"Alfajor Maicena x7: "&amp;F179&amp;" pack. x $"&amp;TEXT($T179,"#,##0")&amp;" = $"&amp;TEXT(F179*$T179,"#,##0")&amp;CHAR(10),"")&amp;IF(G179&gt;0,"Alfajor Frutal x7: "&amp;G179&amp;" pack. x $"&amp;TEXT($T179,"#,##0")&amp;" = $"&amp;TEXT(G179*$T179,"#,##0")&amp;CHAR(10),"")&amp;IF(H179&gt;0,"Alfajor Santafesino x7: "&amp;H179&amp;" pack. x $"&amp;TEXT($T179,"#,##0")&amp;" = $"&amp;TEXT(H179*$T179,"#,##0")&amp;CHAR(10),"")&amp;IF(I179&gt;0,"Alfajor Maicena x14: "&amp;I179&amp;" pack. x $"&amp;TEXT($U179,"#,##0")&amp;" = $"&amp;TEXT(I179*$U179,"#,##0")&amp;CHAR(10),"")&amp;IF(J179&gt;0,"Pepas DDL: "&amp;J179&amp;" band. x $"&amp;TEXT($V179,"#,##0")&amp;" = $"&amp;TEXT(J179*$V179,"#,##0")&amp;CHAR(10),"")&amp;IF(K179&gt;0,"Pepas Membrillo: "&amp;K179&amp;" band. x $"&amp;TEXT($V179,"#,##0")&amp;" = $"&amp;TEXT(K179*$V179,"#,##0")&amp;CHAR(10),"")&amp;IF(L179&gt;0,"Pepas Arándano: "&amp;L179&amp;" band. x $"&amp;TEXT($V179,"#,##0")&amp;" = $"&amp;TEXT(L179*$V179,"#,##0")&amp;CHAR(10),"")&amp;IF(M179&gt;0,"Pepas Batata: "&amp;M179&amp;" band. x $"&amp;TEXT($V179,"#,##0")&amp;" = $"&amp;TEXT(M179*$V179,"#,##0")&amp;CHAR(10),"")&amp;IF(N179&gt;0,"Pepas Frutos del Bosque: "&amp;N179&amp;" band. x $"&amp;TEXT($V179,"#,##0")&amp;" = $"&amp;TEXT(N179*$V179,"#,##0")&amp;CHAR(10),"")&amp;"................................."&amp;CHAR(10)&amp;"*TOTAL: $"&amp;TEXT(P179,"#,##0")&amp;"*"&amp;CHAR(10)&amp;CHAR(10)&amp;"¡Gracias por tu pedido! 🙏")</f>
        <v/>
      </c>
      <c r="T179" s="78">
        <f>IF(C179="",Config!$B$5,IF(C179&gt;=Config!$B$2,Config!$C$5,Config!$B$5))</f>
        <v/>
      </c>
      <c r="U179" s="78">
        <f>IF(C179="",Config!$B$8,IF(C179&gt;=Config!$B$2,Config!$C$8,Config!$B$8))</f>
        <v/>
      </c>
      <c r="V179" s="78">
        <f>IF(C179="",Config!$B$9,IF(C179&gt;=Config!$B$2,Config!$C$9,Config!$B$9))</f>
        <v/>
      </c>
    </row>
    <row r="180" ht="60" customHeight="1" s="55">
      <c r="A180" s="72">
        <f>IF(D180="","",ROW()-4)</f>
        <v/>
      </c>
      <c r="B180" s="73" t="n"/>
      <c r="C180" s="73" t="n"/>
      <c r="D180" s="74" t="n"/>
      <c r="E180" s="74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2">
        <f>IF(D180="","",SUM(F180:N180))</f>
        <v/>
      </c>
      <c r="P180" s="76">
        <f>IF(D180="","",(F180+G180+H180)*T180+I180*U180+(J180+K180+L180+M180+N180)*V180)</f>
        <v/>
      </c>
      <c r="Q180" s="74" t="n"/>
      <c r="R180" s="77">
        <f>IF(OR(D180="",O180=0),"","🥮 *NUESTRO ALFAJOR*"&amp;CHAR(10)&amp;"Remito N° "&amp;A180&amp;CHAR(10)&amp;"Fecha entrega: "&amp;TEXT(C180,"DD/MM/YYYY")&amp;CHAR(10)&amp;"Cliente: "&amp;D180&amp;IF(E180&lt;&gt;"",", "&amp;E180,"")&amp;CHAR(10)&amp;"................................."&amp;CHAR(10)&amp;IF(F180&gt;0,"Alfajor Maicena x7: "&amp;F180&amp;" pack. x $"&amp;TEXT($T180,"#,##0")&amp;" = $"&amp;TEXT(F180*$T180,"#,##0")&amp;CHAR(10),"")&amp;IF(G180&gt;0,"Alfajor Frutal x7: "&amp;G180&amp;" pack. x $"&amp;TEXT($T180,"#,##0")&amp;" = $"&amp;TEXT(G180*$T180,"#,##0")&amp;CHAR(10),"")&amp;IF(H180&gt;0,"Alfajor Santafesino x7: "&amp;H180&amp;" pack. x $"&amp;TEXT($T180,"#,##0")&amp;" = $"&amp;TEXT(H180*$T180,"#,##0")&amp;CHAR(10),"")&amp;IF(I180&gt;0,"Alfajor Maicena x14: "&amp;I180&amp;" pack. x $"&amp;TEXT($U180,"#,##0")&amp;" = $"&amp;TEXT(I180*$U180,"#,##0")&amp;CHAR(10),"")&amp;IF(J180&gt;0,"Pepas DDL: "&amp;J180&amp;" band. x $"&amp;TEXT($V180,"#,##0")&amp;" = $"&amp;TEXT(J180*$V180,"#,##0")&amp;CHAR(10),"")&amp;IF(K180&gt;0,"Pepas Membrillo: "&amp;K180&amp;" band. x $"&amp;TEXT($V180,"#,##0")&amp;" = $"&amp;TEXT(K180*$V180,"#,##0")&amp;CHAR(10),"")&amp;IF(L180&gt;0,"Pepas Arándano: "&amp;L180&amp;" band. x $"&amp;TEXT($V180,"#,##0")&amp;" = $"&amp;TEXT(L180*$V180,"#,##0")&amp;CHAR(10),"")&amp;IF(M180&gt;0,"Pepas Batata: "&amp;M180&amp;" band. x $"&amp;TEXT($V180,"#,##0")&amp;" = $"&amp;TEXT(M180*$V180,"#,##0")&amp;CHAR(10),"")&amp;IF(N180&gt;0,"Pepas Frutos del Bosque: "&amp;N180&amp;" band. x $"&amp;TEXT($V180,"#,##0")&amp;" = $"&amp;TEXT(N180*$V180,"#,##0")&amp;CHAR(10),"")&amp;"................................."&amp;CHAR(10)&amp;"*TOTAL: $"&amp;TEXT(P180,"#,##0")&amp;"*"&amp;CHAR(10)&amp;CHAR(10)&amp;"¡Gracias por tu pedido! 🙏")</f>
        <v/>
      </c>
      <c r="T180" s="78">
        <f>IF(C180="",Config!$B$5,IF(C180&gt;=Config!$B$2,Config!$C$5,Config!$B$5))</f>
        <v/>
      </c>
      <c r="U180" s="78">
        <f>IF(C180="",Config!$B$8,IF(C180&gt;=Config!$B$2,Config!$C$8,Config!$B$8))</f>
        <v/>
      </c>
      <c r="V180" s="78">
        <f>IF(C180="",Config!$B$9,IF(C180&gt;=Config!$B$2,Config!$C$9,Config!$B$9))</f>
        <v/>
      </c>
    </row>
    <row r="181" ht="60" customHeight="1" s="55">
      <c r="A181" s="72">
        <f>IF(D181="","",ROW()-4)</f>
        <v/>
      </c>
      <c r="B181" s="73" t="n"/>
      <c r="C181" s="73" t="n"/>
      <c r="D181" s="74" t="n"/>
      <c r="E181" s="74" t="n"/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2">
        <f>IF(D181="","",SUM(F181:N181))</f>
        <v/>
      </c>
      <c r="P181" s="76">
        <f>IF(D181="","",(F181+G181+H181)*T181+I181*U181+(J181+K181+L181+M181+N181)*V181)</f>
        <v/>
      </c>
      <c r="Q181" s="74" t="n"/>
      <c r="R181" s="77">
        <f>IF(OR(D181="",O181=0),"","🥮 *NUESTRO ALFAJOR*"&amp;CHAR(10)&amp;"Remito N° "&amp;A181&amp;CHAR(10)&amp;"Fecha entrega: "&amp;TEXT(C181,"DD/MM/YYYY")&amp;CHAR(10)&amp;"Cliente: "&amp;D181&amp;IF(E181&lt;&gt;"",", "&amp;E181,"")&amp;CHAR(10)&amp;"................................."&amp;CHAR(10)&amp;IF(F181&gt;0,"Alfajor Maicena x7: "&amp;F181&amp;" pack. x $"&amp;TEXT($T181,"#,##0")&amp;" = $"&amp;TEXT(F181*$T181,"#,##0")&amp;CHAR(10),"")&amp;IF(G181&gt;0,"Alfajor Frutal x7: "&amp;G181&amp;" pack. x $"&amp;TEXT($T181,"#,##0")&amp;" = $"&amp;TEXT(G181*$T181,"#,##0")&amp;CHAR(10),"")&amp;IF(H181&gt;0,"Alfajor Santafesino x7: "&amp;H181&amp;" pack. x $"&amp;TEXT($T181,"#,##0")&amp;" = $"&amp;TEXT(H181*$T181,"#,##0")&amp;CHAR(10),"")&amp;IF(I181&gt;0,"Alfajor Maicena x14: "&amp;I181&amp;" pack. x $"&amp;TEXT($U181,"#,##0")&amp;" = $"&amp;TEXT(I181*$U181,"#,##0")&amp;CHAR(10),"")&amp;IF(J181&gt;0,"Pepas DDL: "&amp;J181&amp;" band. x $"&amp;TEXT($V181,"#,##0")&amp;" = $"&amp;TEXT(J181*$V181,"#,##0")&amp;CHAR(10),"")&amp;IF(K181&gt;0,"Pepas Membrillo: "&amp;K181&amp;" band. x $"&amp;TEXT($V181,"#,##0")&amp;" = $"&amp;TEXT(K181*$V181,"#,##0")&amp;CHAR(10),"")&amp;IF(L181&gt;0,"Pepas Arándano: "&amp;L181&amp;" band. x $"&amp;TEXT($V181,"#,##0")&amp;" = $"&amp;TEXT(L181*$V181,"#,##0")&amp;CHAR(10),"")&amp;IF(M181&gt;0,"Pepas Batata: "&amp;M181&amp;" band. x $"&amp;TEXT($V181,"#,##0")&amp;" = $"&amp;TEXT(M181*$V181,"#,##0")&amp;CHAR(10),"")&amp;IF(N181&gt;0,"Pepas Frutos del Bosque: "&amp;N181&amp;" band. x $"&amp;TEXT($V181,"#,##0")&amp;" = $"&amp;TEXT(N181*$V181,"#,##0")&amp;CHAR(10),"")&amp;"................................."&amp;CHAR(10)&amp;"*TOTAL: $"&amp;TEXT(P181,"#,##0")&amp;"*"&amp;CHAR(10)&amp;CHAR(10)&amp;"¡Gracias por tu pedido! 🙏")</f>
        <v/>
      </c>
      <c r="T181" s="78">
        <f>IF(C181="",Config!$B$5,IF(C181&gt;=Config!$B$2,Config!$C$5,Config!$B$5))</f>
        <v/>
      </c>
      <c r="U181" s="78">
        <f>IF(C181="",Config!$B$8,IF(C181&gt;=Config!$B$2,Config!$C$8,Config!$B$8))</f>
        <v/>
      </c>
      <c r="V181" s="78">
        <f>IF(C181="",Config!$B$9,IF(C181&gt;=Config!$B$2,Config!$C$9,Config!$B$9))</f>
        <v/>
      </c>
    </row>
    <row r="182" ht="60" customHeight="1" s="55">
      <c r="A182" s="72">
        <f>IF(D182="","",ROW()-4)</f>
        <v/>
      </c>
      <c r="B182" s="73" t="n"/>
      <c r="C182" s="73" t="n"/>
      <c r="D182" s="74" t="n"/>
      <c r="E182" s="74" t="n"/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2">
        <f>IF(D182="","",SUM(F182:N182))</f>
        <v/>
      </c>
      <c r="P182" s="76">
        <f>IF(D182="","",(F182+G182+H182)*T182+I182*U182+(J182+K182+L182+M182+N182)*V182)</f>
        <v/>
      </c>
      <c r="Q182" s="74" t="n"/>
      <c r="R182" s="77">
        <f>IF(OR(D182="",O182=0),"","🥮 *NUESTRO ALFAJOR*"&amp;CHAR(10)&amp;"Remito N° "&amp;A182&amp;CHAR(10)&amp;"Fecha entrega: "&amp;TEXT(C182,"DD/MM/YYYY")&amp;CHAR(10)&amp;"Cliente: "&amp;D182&amp;IF(E182&lt;&gt;"",", "&amp;E182,"")&amp;CHAR(10)&amp;"................................."&amp;CHAR(10)&amp;IF(F182&gt;0,"Alfajor Maicena x7: "&amp;F182&amp;" pack. x $"&amp;TEXT($T182,"#,##0")&amp;" = $"&amp;TEXT(F182*$T182,"#,##0")&amp;CHAR(10),"")&amp;IF(G182&gt;0,"Alfajor Frutal x7: "&amp;G182&amp;" pack. x $"&amp;TEXT($T182,"#,##0")&amp;" = $"&amp;TEXT(G182*$T182,"#,##0")&amp;CHAR(10),"")&amp;IF(H182&gt;0,"Alfajor Santafesino x7: "&amp;H182&amp;" pack. x $"&amp;TEXT($T182,"#,##0")&amp;" = $"&amp;TEXT(H182*$T182,"#,##0")&amp;CHAR(10),"")&amp;IF(I182&gt;0,"Alfajor Maicena x14: "&amp;I182&amp;" pack. x $"&amp;TEXT($U182,"#,##0")&amp;" = $"&amp;TEXT(I182*$U182,"#,##0")&amp;CHAR(10),"")&amp;IF(J182&gt;0,"Pepas DDL: "&amp;J182&amp;" band. x $"&amp;TEXT($V182,"#,##0")&amp;" = $"&amp;TEXT(J182*$V182,"#,##0")&amp;CHAR(10),"")&amp;IF(K182&gt;0,"Pepas Membrillo: "&amp;K182&amp;" band. x $"&amp;TEXT($V182,"#,##0")&amp;" = $"&amp;TEXT(K182*$V182,"#,##0")&amp;CHAR(10),"")&amp;IF(L182&gt;0,"Pepas Arándano: "&amp;L182&amp;" band. x $"&amp;TEXT($V182,"#,##0")&amp;" = $"&amp;TEXT(L182*$V182,"#,##0")&amp;CHAR(10),"")&amp;IF(M182&gt;0,"Pepas Batata: "&amp;M182&amp;" band. x $"&amp;TEXT($V182,"#,##0")&amp;" = $"&amp;TEXT(M182*$V182,"#,##0")&amp;CHAR(10),"")&amp;IF(N182&gt;0,"Pepas Frutos del Bosque: "&amp;N182&amp;" band. x $"&amp;TEXT($V182,"#,##0")&amp;" = $"&amp;TEXT(N182*$V182,"#,##0")&amp;CHAR(10),"")&amp;"................................."&amp;CHAR(10)&amp;"*TOTAL: $"&amp;TEXT(P182,"#,##0")&amp;"*"&amp;CHAR(10)&amp;CHAR(10)&amp;"¡Gracias por tu pedido! 🙏")</f>
        <v/>
      </c>
      <c r="T182" s="78">
        <f>IF(C182="",Config!$B$5,IF(C182&gt;=Config!$B$2,Config!$C$5,Config!$B$5))</f>
        <v/>
      </c>
      <c r="U182" s="78">
        <f>IF(C182="",Config!$B$8,IF(C182&gt;=Config!$B$2,Config!$C$8,Config!$B$8))</f>
        <v/>
      </c>
      <c r="V182" s="78">
        <f>IF(C182="",Config!$B$9,IF(C182&gt;=Config!$B$2,Config!$C$9,Config!$B$9))</f>
        <v/>
      </c>
    </row>
    <row r="183" ht="60" customHeight="1" s="55">
      <c r="A183" s="72">
        <f>IF(D183="","",ROW()-4)</f>
        <v/>
      </c>
      <c r="B183" s="73" t="n"/>
      <c r="C183" s="73" t="n"/>
      <c r="D183" s="74" t="n"/>
      <c r="E183" s="74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2">
        <f>IF(D183="","",SUM(F183:N183))</f>
        <v/>
      </c>
      <c r="P183" s="76">
        <f>IF(D183="","",(F183+G183+H183)*T183+I183*U183+(J183+K183+L183+M183+N183)*V183)</f>
        <v/>
      </c>
      <c r="Q183" s="74" t="n"/>
      <c r="R183" s="77">
        <f>IF(OR(D183="",O183=0),"","🥮 *NUESTRO ALFAJOR*"&amp;CHAR(10)&amp;"Remito N° "&amp;A183&amp;CHAR(10)&amp;"Fecha entrega: "&amp;TEXT(C183,"DD/MM/YYYY")&amp;CHAR(10)&amp;"Cliente: "&amp;D183&amp;IF(E183&lt;&gt;"",", "&amp;E183,"")&amp;CHAR(10)&amp;"................................."&amp;CHAR(10)&amp;IF(F183&gt;0,"Alfajor Maicena x7: "&amp;F183&amp;" pack. x $"&amp;TEXT($T183,"#,##0")&amp;" = $"&amp;TEXT(F183*$T183,"#,##0")&amp;CHAR(10),"")&amp;IF(G183&gt;0,"Alfajor Frutal x7: "&amp;G183&amp;" pack. x $"&amp;TEXT($T183,"#,##0")&amp;" = $"&amp;TEXT(G183*$T183,"#,##0")&amp;CHAR(10),"")&amp;IF(H183&gt;0,"Alfajor Santafesino x7: "&amp;H183&amp;" pack. x $"&amp;TEXT($T183,"#,##0")&amp;" = $"&amp;TEXT(H183*$T183,"#,##0")&amp;CHAR(10),"")&amp;IF(I183&gt;0,"Alfajor Maicena x14: "&amp;I183&amp;" pack. x $"&amp;TEXT($U183,"#,##0")&amp;" = $"&amp;TEXT(I183*$U183,"#,##0")&amp;CHAR(10),"")&amp;IF(J183&gt;0,"Pepas DDL: "&amp;J183&amp;" band. x $"&amp;TEXT($V183,"#,##0")&amp;" = $"&amp;TEXT(J183*$V183,"#,##0")&amp;CHAR(10),"")&amp;IF(K183&gt;0,"Pepas Membrillo: "&amp;K183&amp;" band. x $"&amp;TEXT($V183,"#,##0")&amp;" = $"&amp;TEXT(K183*$V183,"#,##0")&amp;CHAR(10),"")&amp;IF(L183&gt;0,"Pepas Arándano: "&amp;L183&amp;" band. x $"&amp;TEXT($V183,"#,##0")&amp;" = $"&amp;TEXT(L183*$V183,"#,##0")&amp;CHAR(10),"")&amp;IF(M183&gt;0,"Pepas Batata: "&amp;M183&amp;" band. x $"&amp;TEXT($V183,"#,##0")&amp;" = $"&amp;TEXT(M183*$V183,"#,##0")&amp;CHAR(10),"")&amp;IF(N183&gt;0,"Pepas Frutos del Bosque: "&amp;N183&amp;" band. x $"&amp;TEXT($V183,"#,##0")&amp;" = $"&amp;TEXT(N183*$V183,"#,##0")&amp;CHAR(10),"")&amp;"................................."&amp;CHAR(10)&amp;"*TOTAL: $"&amp;TEXT(P183,"#,##0")&amp;"*"&amp;CHAR(10)&amp;CHAR(10)&amp;"¡Gracias por tu pedido! 🙏")</f>
        <v/>
      </c>
      <c r="T183" s="78">
        <f>IF(C183="",Config!$B$5,IF(C183&gt;=Config!$B$2,Config!$C$5,Config!$B$5))</f>
        <v/>
      </c>
      <c r="U183" s="78">
        <f>IF(C183="",Config!$B$8,IF(C183&gt;=Config!$B$2,Config!$C$8,Config!$B$8))</f>
        <v/>
      </c>
      <c r="V183" s="78">
        <f>IF(C183="",Config!$B$9,IF(C183&gt;=Config!$B$2,Config!$C$9,Config!$B$9))</f>
        <v/>
      </c>
    </row>
    <row r="184" ht="60" customHeight="1" s="55">
      <c r="A184" s="72">
        <f>IF(D184="","",ROW()-4)</f>
        <v/>
      </c>
      <c r="B184" s="73" t="n"/>
      <c r="C184" s="73" t="n"/>
      <c r="D184" s="74" t="n"/>
      <c r="E184" s="74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2">
        <f>IF(D184="","",SUM(F184:N184))</f>
        <v/>
      </c>
      <c r="P184" s="76">
        <f>IF(D184="","",(F184+G184+H184)*T184+I184*U184+(J184+K184+L184+M184+N184)*V184)</f>
        <v/>
      </c>
      <c r="Q184" s="74" t="n"/>
      <c r="R184" s="77">
        <f>IF(OR(D184="",O184=0),"","🥮 *NUESTRO ALFAJOR*"&amp;CHAR(10)&amp;"Remito N° "&amp;A184&amp;CHAR(10)&amp;"Fecha entrega: "&amp;TEXT(C184,"DD/MM/YYYY")&amp;CHAR(10)&amp;"Cliente: "&amp;D184&amp;IF(E184&lt;&gt;"",", "&amp;E184,"")&amp;CHAR(10)&amp;"................................."&amp;CHAR(10)&amp;IF(F184&gt;0,"Alfajor Maicena x7: "&amp;F184&amp;" pack. x $"&amp;TEXT($T184,"#,##0")&amp;" = $"&amp;TEXT(F184*$T184,"#,##0")&amp;CHAR(10),"")&amp;IF(G184&gt;0,"Alfajor Frutal x7: "&amp;G184&amp;" pack. x $"&amp;TEXT($T184,"#,##0")&amp;" = $"&amp;TEXT(G184*$T184,"#,##0")&amp;CHAR(10),"")&amp;IF(H184&gt;0,"Alfajor Santafesino x7: "&amp;H184&amp;" pack. x $"&amp;TEXT($T184,"#,##0")&amp;" = $"&amp;TEXT(H184*$T184,"#,##0")&amp;CHAR(10),"")&amp;IF(I184&gt;0,"Alfajor Maicena x14: "&amp;I184&amp;" pack. x $"&amp;TEXT($U184,"#,##0")&amp;" = $"&amp;TEXT(I184*$U184,"#,##0")&amp;CHAR(10),"")&amp;IF(J184&gt;0,"Pepas DDL: "&amp;J184&amp;" band. x $"&amp;TEXT($V184,"#,##0")&amp;" = $"&amp;TEXT(J184*$V184,"#,##0")&amp;CHAR(10),"")&amp;IF(K184&gt;0,"Pepas Membrillo: "&amp;K184&amp;" band. x $"&amp;TEXT($V184,"#,##0")&amp;" = $"&amp;TEXT(K184*$V184,"#,##0")&amp;CHAR(10),"")&amp;IF(L184&gt;0,"Pepas Arándano: "&amp;L184&amp;" band. x $"&amp;TEXT($V184,"#,##0")&amp;" = $"&amp;TEXT(L184*$V184,"#,##0")&amp;CHAR(10),"")&amp;IF(M184&gt;0,"Pepas Batata: "&amp;M184&amp;" band. x $"&amp;TEXT($V184,"#,##0")&amp;" = $"&amp;TEXT(M184*$V184,"#,##0")&amp;CHAR(10),"")&amp;IF(N184&gt;0,"Pepas Frutos del Bosque: "&amp;N184&amp;" band. x $"&amp;TEXT($V184,"#,##0")&amp;" = $"&amp;TEXT(N184*$V184,"#,##0")&amp;CHAR(10),"")&amp;"................................."&amp;CHAR(10)&amp;"*TOTAL: $"&amp;TEXT(P184,"#,##0")&amp;"*"&amp;CHAR(10)&amp;CHAR(10)&amp;"¡Gracias por tu pedido! 🙏")</f>
        <v/>
      </c>
      <c r="T184" s="78">
        <f>IF(C184="",Config!$B$5,IF(C184&gt;=Config!$B$2,Config!$C$5,Config!$B$5))</f>
        <v/>
      </c>
      <c r="U184" s="78">
        <f>IF(C184="",Config!$B$8,IF(C184&gt;=Config!$B$2,Config!$C$8,Config!$B$8))</f>
        <v/>
      </c>
      <c r="V184" s="78">
        <f>IF(C184="",Config!$B$9,IF(C184&gt;=Config!$B$2,Config!$C$9,Config!$B$9))</f>
        <v/>
      </c>
    </row>
    <row r="185" ht="60" customHeight="1" s="55">
      <c r="A185" s="72">
        <f>IF(D185="","",ROW()-4)</f>
        <v/>
      </c>
      <c r="B185" s="73" t="n"/>
      <c r="C185" s="73" t="n"/>
      <c r="D185" s="74" t="n"/>
      <c r="E185" s="74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2">
        <f>IF(D185="","",SUM(F185:N185))</f>
        <v/>
      </c>
      <c r="P185" s="76">
        <f>IF(D185="","",(F185+G185+H185)*T185+I185*U185+(J185+K185+L185+M185+N185)*V185)</f>
        <v/>
      </c>
      <c r="Q185" s="74" t="n"/>
      <c r="R185" s="77">
        <f>IF(OR(D185="",O185=0),"","🥮 *NUESTRO ALFAJOR*"&amp;CHAR(10)&amp;"Remito N° "&amp;A185&amp;CHAR(10)&amp;"Fecha entrega: "&amp;TEXT(C185,"DD/MM/YYYY")&amp;CHAR(10)&amp;"Cliente: "&amp;D185&amp;IF(E185&lt;&gt;"",", "&amp;E185,"")&amp;CHAR(10)&amp;"................................."&amp;CHAR(10)&amp;IF(F185&gt;0,"Alfajor Maicena x7: "&amp;F185&amp;" pack. x $"&amp;TEXT($T185,"#,##0")&amp;" = $"&amp;TEXT(F185*$T185,"#,##0")&amp;CHAR(10),"")&amp;IF(G185&gt;0,"Alfajor Frutal x7: "&amp;G185&amp;" pack. x $"&amp;TEXT($T185,"#,##0")&amp;" = $"&amp;TEXT(G185*$T185,"#,##0")&amp;CHAR(10),"")&amp;IF(H185&gt;0,"Alfajor Santafesino x7: "&amp;H185&amp;" pack. x $"&amp;TEXT($T185,"#,##0")&amp;" = $"&amp;TEXT(H185*$T185,"#,##0")&amp;CHAR(10),"")&amp;IF(I185&gt;0,"Alfajor Maicena x14: "&amp;I185&amp;" pack. x $"&amp;TEXT($U185,"#,##0")&amp;" = $"&amp;TEXT(I185*$U185,"#,##0")&amp;CHAR(10),"")&amp;IF(J185&gt;0,"Pepas DDL: "&amp;J185&amp;" band. x $"&amp;TEXT($V185,"#,##0")&amp;" = $"&amp;TEXT(J185*$V185,"#,##0")&amp;CHAR(10),"")&amp;IF(K185&gt;0,"Pepas Membrillo: "&amp;K185&amp;" band. x $"&amp;TEXT($V185,"#,##0")&amp;" = $"&amp;TEXT(K185*$V185,"#,##0")&amp;CHAR(10),"")&amp;IF(L185&gt;0,"Pepas Arándano: "&amp;L185&amp;" band. x $"&amp;TEXT($V185,"#,##0")&amp;" = $"&amp;TEXT(L185*$V185,"#,##0")&amp;CHAR(10),"")&amp;IF(M185&gt;0,"Pepas Batata: "&amp;M185&amp;" band. x $"&amp;TEXT($V185,"#,##0")&amp;" = $"&amp;TEXT(M185*$V185,"#,##0")&amp;CHAR(10),"")&amp;IF(N185&gt;0,"Pepas Frutos del Bosque: "&amp;N185&amp;" band. x $"&amp;TEXT($V185,"#,##0")&amp;" = $"&amp;TEXT(N185*$V185,"#,##0")&amp;CHAR(10),"")&amp;"................................."&amp;CHAR(10)&amp;"*TOTAL: $"&amp;TEXT(P185,"#,##0")&amp;"*"&amp;CHAR(10)&amp;CHAR(10)&amp;"¡Gracias por tu pedido! 🙏")</f>
        <v/>
      </c>
      <c r="T185" s="78">
        <f>IF(C185="",Config!$B$5,IF(C185&gt;=Config!$B$2,Config!$C$5,Config!$B$5))</f>
        <v/>
      </c>
      <c r="U185" s="78">
        <f>IF(C185="",Config!$B$8,IF(C185&gt;=Config!$B$2,Config!$C$8,Config!$B$8))</f>
        <v/>
      </c>
      <c r="V185" s="78">
        <f>IF(C185="",Config!$B$9,IF(C185&gt;=Config!$B$2,Config!$C$9,Config!$B$9))</f>
        <v/>
      </c>
    </row>
    <row r="186" ht="60" customHeight="1" s="55">
      <c r="A186" s="72">
        <f>IF(D186="","",ROW()-4)</f>
        <v/>
      </c>
      <c r="B186" s="73" t="n"/>
      <c r="C186" s="73" t="n"/>
      <c r="D186" s="74" t="n"/>
      <c r="E186" s="74" t="n"/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2">
        <f>IF(D186="","",SUM(F186:N186))</f>
        <v/>
      </c>
      <c r="P186" s="76">
        <f>IF(D186="","",(F186+G186+H186)*T186+I186*U186+(J186+K186+L186+M186+N186)*V186)</f>
        <v/>
      </c>
      <c r="Q186" s="74" t="n"/>
      <c r="R186" s="77">
        <f>IF(OR(D186="",O186=0),"","🥮 *NUESTRO ALFAJOR*"&amp;CHAR(10)&amp;"Remito N° "&amp;A186&amp;CHAR(10)&amp;"Fecha entrega: "&amp;TEXT(C186,"DD/MM/YYYY")&amp;CHAR(10)&amp;"Cliente: "&amp;D186&amp;IF(E186&lt;&gt;"",", "&amp;E186,"")&amp;CHAR(10)&amp;"................................."&amp;CHAR(10)&amp;IF(F186&gt;0,"Alfajor Maicena x7: "&amp;F186&amp;" pack. x $"&amp;TEXT($T186,"#,##0")&amp;" = $"&amp;TEXT(F186*$T186,"#,##0")&amp;CHAR(10),"")&amp;IF(G186&gt;0,"Alfajor Frutal x7: "&amp;G186&amp;" pack. x $"&amp;TEXT($T186,"#,##0")&amp;" = $"&amp;TEXT(G186*$T186,"#,##0")&amp;CHAR(10),"")&amp;IF(H186&gt;0,"Alfajor Santafesino x7: "&amp;H186&amp;" pack. x $"&amp;TEXT($T186,"#,##0")&amp;" = $"&amp;TEXT(H186*$T186,"#,##0")&amp;CHAR(10),"")&amp;IF(I186&gt;0,"Alfajor Maicena x14: "&amp;I186&amp;" pack. x $"&amp;TEXT($U186,"#,##0")&amp;" = $"&amp;TEXT(I186*$U186,"#,##0")&amp;CHAR(10),"")&amp;IF(J186&gt;0,"Pepas DDL: "&amp;J186&amp;" band. x $"&amp;TEXT($V186,"#,##0")&amp;" = $"&amp;TEXT(J186*$V186,"#,##0")&amp;CHAR(10),"")&amp;IF(K186&gt;0,"Pepas Membrillo: "&amp;K186&amp;" band. x $"&amp;TEXT($V186,"#,##0")&amp;" = $"&amp;TEXT(K186*$V186,"#,##0")&amp;CHAR(10),"")&amp;IF(L186&gt;0,"Pepas Arándano: "&amp;L186&amp;" band. x $"&amp;TEXT($V186,"#,##0")&amp;" = $"&amp;TEXT(L186*$V186,"#,##0")&amp;CHAR(10),"")&amp;IF(M186&gt;0,"Pepas Batata: "&amp;M186&amp;" band. x $"&amp;TEXT($V186,"#,##0")&amp;" = $"&amp;TEXT(M186*$V186,"#,##0")&amp;CHAR(10),"")&amp;IF(N186&gt;0,"Pepas Frutos del Bosque: "&amp;N186&amp;" band. x $"&amp;TEXT($V186,"#,##0")&amp;" = $"&amp;TEXT(N186*$V186,"#,##0")&amp;CHAR(10),"")&amp;"................................."&amp;CHAR(10)&amp;"*TOTAL: $"&amp;TEXT(P186,"#,##0")&amp;"*"&amp;CHAR(10)&amp;CHAR(10)&amp;"¡Gracias por tu pedido! 🙏")</f>
        <v/>
      </c>
      <c r="T186" s="78">
        <f>IF(C186="",Config!$B$5,IF(C186&gt;=Config!$B$2,Config!$C$5,Config!$B$5))</f>
        <v/>
      </c>
      <c r="U186" s="78">
        <f>IF(C186="",Config!$B$8,IF(C186&gt;=Config!$B$2,Config!$C$8,Config!$B$8))</f>
        <v/>
      </c>
      <c r="V186" s="78">
        <f>IF(C186="",Config!$B$9,IF(C186&gt;=Config!$B$2,Config!$C$9,Config!$B$9))</f>
        <v/>
      </c>
    </row>
    <row r="187" ht="60" customHeight="1" s="55">
      <c r="A187" s="72">
        <f>IF(D187="","",ROW()-4)</f>
        <v/>
      </c>
      <c r="B187" s="73" t="n"/>
      <c r="C187" s="73" t="n"/>
      <c r="D187" s="74" t="n"/>
      <c r="E187" s="74" t="n"/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2">
        <f>IF(D187="","",SUM(F187:N187))</f>
        <v/>
      </c>
      <c r="P187" s="76">
        <f>IF(D187="","",(F187+G187+H187)*T187+I187*U187+(J187+K187+L187+M187+N187)*V187)</f>
        <v/>
      </c>
      <c r="Q187" s="74" t="n"/>
      <c r="R187" s="77">
        <f>IF(OR(D187="",O187=0),"","🥮 *NUESTRO ALFAJOR*"&amp;CHAR(10)&amp;"Remito N° "&amp;A187&amp;CHAR(10)&amp;"Fecha entrega: "&amp;TEXT(C187,"DD/MM/YYYY")&amp;CHAR(10)&amp;"Cliente: "&amp;D187&amp;IF(E187&lt;&gt;"",", "&amp;E187,"")&amp;CHAR(10)&amp;"................................."&amp;CHAR(10)&amp;IF(F187&gt;0,"Alfajor Maicena x7: "&amp;F187&amp;" pack. x $"&amp;TEXT($T187,"#,##0")&amp;" = $"&amp;TEXT(F187*$T187,"#,##0")&amp;CHAR(10),"")&amp;IF(G187&gt;0,"Alfajor Frutal x7: "&amp;G187&amp;" pack. x $"&amp;TEXT($T187,"#,##0")&amp;" = $"&amp;TEXT(G187*$T187,"#,##0")&amp;CHAR(10),"")&amp;IF(H187&gt;0,"Alfajor Santafesino x7: "&amp;H187&amp;" pack. x $"&amp;TEXT($T187,"#,##0")&amp;" = $"&amp;TEXT(H187*$T187,"#,##0")&amp;CHAR(10),"")&amp;IF(I187&gt;0,"Alfajor Maicena x14: "&amp;I187&amp;" pack. x $"&amp;TEXT($U187,"#,##0")&amp;" = $"&amp;TEXT(I187*$U187,"#,##0")&amp;CHAR(10),"")&amp;IF(J187&gt;0,"Pepas DDL: "&amp;J187&amp;" band. x $"&amp;TEXT($V187,"#,##0")&amp;" = $"&amp;TEXT(J187*$V187,"#,##0")&amp;CHAR(10),"")&amp;IF(K187&gt;0,"Pepas Membrillo: "&amp;K187&amp;" band. x $"&amp;TEXT($V187,"#,##0")&amp;" = $"&amp;TEXT(K187*$V187,"#,##0")&amp;CHAR(10),"")&amp;IF(L187&gt;0,"Pepas Arándano: "&amp;L187&amp;" band. x $"&amp;TEXT($V187,"#,##0")&amp;" = $"&amp;TEXT(L187*$V187,"#,##0")&amp;CHAR(10),"")&amp;IF(M187&gt;0,"Pepas Batata: "&amp;M187&amp;" band. x $"&amp;TEXT($V187,"#,##0")&amp;" = $"&amp;TEXT(M187*$V187,"#,##0")&amp;CHAR(10),"")&amp;IF(N187&gt;0,"Pepas Frutos del Bosque: "&amp;N187&amp;" band. x $"&amp;TEXT($V187,"#,##0")&amp;" = $"&amp;TEXT(N187*$V187,"#,##0")&amp;CHAR(10),"")&amp;"................................."&amp;CHAR(10)&amp;"*TOTAL: $"&amp;TEXT(P187,"#,##0")&amp;"*"&amp;CHAR(10)&amp;CHAR(10)&amp;"¡Gracias por tu pedido! 🙏")</f>
        <v/>
      </c>
      <c r="T187" s="78">
        <f>IF(C187="",Config!$B$5,IF(C187&gt;=Config!$B$2,Config!$C$5,Config!$B$5))</f>
        <v/>
      </c>
      <c r="U187" s="78">
        <f>IF(C187="",Config!$B$8,IF(C187&gt;=Config!$B$2,Config!$C$8,Config!$B$8))</f>
        <v/>
      </c>
      <c r="V187" s="78">
        <f>IF(C187="",Config!$B$9,IF(C187&gt;=Config!$B$2,Config!$C$9,Config!$B$9))</f>
        <v/>
      </c>
    </row>
    <row r="188" ht="60" customHeight="1" s="55">
      <c r="A188" s="72">
        <f>IF(D188="","",ROW()-4)</f>
        <v/>
      </c>
      <c r="B188" s="73" t="n"/>
      <c r="C188" s="73" t="n"/>
      <c r="D188" s="74" t="n"/>
      <c r="E188" s="74" t="n"/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2">
        <f>IF(D188="","",SUM(F188:N188))</f>
        <v/>
      </c>
      <c r="P188" s="76">
        <f>IF(D188="","",(F188+G188+H188)*T188+I188*U188+(J188+K188+L188+M188+N188)*V188)</f>
        <v/>
      </c>
      <c r="Q188" s="74" t="n"/>
      <c r="R188" s="77">
        <f>IF(OR(D188="",O188=0),"","🥮 *NUESTRO ALFAJOR*"&amp;CHAR(10)&amp;"Remito N° "&amp;A188&amp;CHAR(10)&amp;"Fecha entrega: "&amp;TEXT(C188,"DD/MM/YYYY")&amp;CHAR(10)&amp;"Cliente: "&amp;D188&amp;IF(E188&lt;&gt;"",", "&amp;E188,"")&amp;CHAR(10)&amp;"................................."&amp;CHAR(10)&amp;IF(F188&gt;0,"Alfajor Maicena x7: "&amp;F188&amp;" pack. x $"&amp;TEXT($T188,"#,##0")&amp;" = $"&amp;TEXT(F188*$T188,"#,##0")&amp;CHAR(10),"")&amp;IF(G188&gt;0,"Alfajor Frutal x7: "&amp;G188&amp;" pack. x $"&amp;TEXT($T188,"#,##0")&amp;" = $"&amp;TEXT(G188*$T188,"#,##0")&amp;CHAR(10),"")&amp;IF(H188&gt;0,"Alfajor Santafesino x7: "&amp;H188&amp;" pack. x $"&amp;TEXT($T188,"#,##0")&amp;" = $"&amp;TEXT(H188*$T188,"#,##0")&amp;CHAR(10),"")&amp;IF(I188&gt;0,"Alfajor Maicena x14: "&amp;I188&amp;" pack. x $"&amp;TEXT($U188,"#,##0")&amp;" = $"&amp;TEXT(I188*$U188,"#,##0")&amp;CHAR(10),"")&amp;IF(J188&gt;0,"Pepas DDL: "&amp;J188&amp;" band. x $"&amp;TEXT($V188,"#,##0")&amp;" = $"&amp;TEXT(J188*$V188,"#,##0")&amp;CHAR(10),"")&amp;IF(K188&gt;0,"Pepas Membrillo: "&amp;K188&amp;" band. x $"&amp;TEXT($V188,"#,##0")&amp;" = $"&amp;TEXT(K188*$V188,"#,##0")&amp;CHAR(10),"")&amp;IF(L188&gt;0,"Pepas Arándano: "&amp;L188&amp;" band. x $"&amp;TEXT($V188,"#,##0")&amp;" = $"&amp;TEXT(L188*$V188,"#,##0")&amp;CHAR(10),"")&amp;IF(M188&gt;0,"Pepas Batata: "&amp;M188&amp;" band. x $"&amp;TEXT($V188,"#,##0")&amp;" = $"&amp;TEXT(M188*$V188,"#,##0")&amp;CHAR(10),"")&amp;IF(N188&gt;0,"Pepas Frutos del Bosque: "&amp;N188&amp;" band. x $"&amp;TEXT($V188,"#,##0")&amp;" = $"&amp;TEXT(N188*$V188,"#,##0")&amp;CHAR(10),"")&amp;"................................."&amp;CHAR(10)&amp;"*TOTAL: $"&amp;TEXT(P188,"#,##0")&amp;"*"&amp;CHAR(10)&amp;CHAR(10)&amp;"¡Gracias por tu pedido! 🙏")</f>
        <v/>
      </c>
      <c r="T188" s="78">
        <f>IF(C188="",Config!$B$5,IF(C188&gt;=Config!$B$2,Config!$C$5,Config!$B$5))</f>
        <v/>
      </c>
      <c r="U188" s="78">
        <f>IF(C188="",Config!$B$8,IF(C188&gt;=Config!$B$2,Config!$C$8,Config!$B$8))</f>
        <v/>
      </c>
      <c r="V188" s="78">
        <f>IF(C188="",Config!$B$9,IF(C188&gt;=Config!$B$2,Config!$C$9,Config!$B$9))</f>
        <v/>
      </c>
    </row>
    <row r="189" ht="60" customHeight="1" s="55">
      <c r="A189" s="72">
        <f>IF(D189="","",ROW()-4)</f>
        <v/>
      </c>
      <c r="B189" s="73" t="n"/>
      <c r="C189" s="73" t="n"/>
      <c r="D189" s="74" t="n"/>
      <c r="E189" s="74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2">
        <f>IF(D189="","",SUM(F189:N189))</f>
        <v/>
      </c>
      <c r="P189" s="76">
        <f>IF(D189="","",(F189+G189+H189)*T189+I189*U189+(J189+K189+L189+M189+N189)*V189)</f>
        <v/>
      </c>
      <c r="Q189" s="74" t="n"/>
      <c r="R189" s="77">
        <f>IF(OR(D189="",O189=0),"","🥮 *NUESTRO ALFAJOR*"&amp;CHAR(10)&amp;"Remito N° "&amp;A189&amp;CHAR(10)&amp;"Fecha entrega: "&amp;TEXT(C189,"DD/MM/YYYY")&amp;CHAR(10)&amp;"Cliente: "&amp;D189&amp;IF(E189&lt;&gt;"",", "&amp;E189,"")&amp;CHAR(10)&amp;"................................."&amp;CHAR(10)&amp;IF(F189&gt;0,"Alfajor Maicena x7: "&amp;F189&amp;" pack. x $"&amp;TEXT($T189,"#,##0")&amp;" = $"&amp;TEXT(F189*$T189,"#,##0")&amp;CHAR(10),"")&amp;IF(G189&gt;0,"Alfajor Frutal x7: "&amp;G189&amp;" pack. x $"&amp;TEXT($T189,"#,##0")&amp;" = $"&amp;TEXT(G189*$T189,"#,##0")&amp;CHAR(10),"")&amp;IF(H189&gt;0,"Alfajor Santafesino x7: "&amp;H189&amp;" pack. x $"&amp;TEXT($T189,"#,##0")&amp;" = $"&amp;TEXT(H189*$T189,"#,##0")&amp;CHAR(10),"")&amp;IF(I189&gt;0,"Alfajor Maicena x14: "&amp;I189&amp;" pack. x $"&amp;TEXT($U189,"#,##0")&amp;" = $"&amp;TEXT(I189*$U189,"#,##0")&amp;CHAR(10),"")&amp;IF(J189&gt;0,"Pepas DDL: "&amp;J189&amp;" band. x $"&amp;TEXT($V189,"#,##0")&amp;" = $"&amp;TEXT(J189*$V189,"#,##0")&amp;CHAR(10),"")&amp;IF(K189&gt;0,"Pepas Membrillo: "&amp;K189&amp;" band. x $"&amp;TEXT($V189,"#,##0")&amp;" = $"&amp;TEXT(K189*$V189,"#,##0")&amp;CHAR(10),"")&amp;IF(L189&gt;0,"Pepas Arándano: "&amp;L189&amp;" band. x $"&amp;TEXT($V189,"#,##0")&amp;" = $"&amp;TEXT(L189*$V189,"#,##0")&amp;CHAR(10),"")&amp;IF(M189&gt;0,"Pepas Batata: "&amp;M189&amp;" band. x $"&amp;TEXT($V189,"#,##0")&amp;" = $"&amp;TEXT(M189*$V189,"#,##0")&amp;CHAR(10),"")&amp;IF(N189&gt;0,"Pepas Frutos del Bosque: "&amp;N189&amp;" band. x $"&amp;TEXT($V189,"#,##0")&amp;" = $"&amp;TEXT(N189*$V189,"#,##0")&amp;CHAR(10),"")&amp;"................................."&amp;CHAR(10)&amp;"*TOTAL: $"&amp;TEXT(P189,"#,##0")&amp;"*"&amp;CHAR(10)&amp;CHAR(10)&amp;"¡Gracias por tu pedido! 🙏")</f>
        <v/>
      </c>
      <c r="T189" s="78">
        <f>IF(C189="",Config!$B$5,IF(C189&gt;=Config!$B$2,Config!$C$5,Config!$B$5))</f>
        <v/>
      </c>
      <c r="U189" s="78">
        <f>IF(C189="",Config!$B$8,IF(C189&gt;=Config!$B$2,Config!$C$8,Config!$B$8))</f>
        <v/>
      </c>
      <c r="V189" s="78">
        <f>IF(C189="",Config!$B$9,IF(C189&gt;=Config!$B$2,Config!$C$9,Config!$B$9))</f>
        <v/>
      </c>
    </row>
    <row r="190" ht="60" customHeight="1" s="55">
      <c r="A190" s="72">
        <f>IF(D190="","",ROW()-4)</f>
        <v/>
      </c>
      <c r="B190" s="73" t="n"/>
      <c r="C190" s="73" t="n"/>
      <c r="D190" s="74" t="n"/>
      <c r="E190" s="74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2">
        <f>IF(D190="","",SUM(F190:N190))</f>
        <v/>
      </c>
      <c r="P190" s="76">
        <f>IF(D190="","",(F190+G190+H190)*T190+I190*U190+(J190+K190+L190+M190+N190)*V190)</f>
        <v/>
      </c>
      <c r="Q190" s="74" t="n"/>
      <c r="R190" s="77">
        <f>IF(OR(D190="",O190=0),"","🥮 *NUESTRO ALFAJOR*"&amp;CHAR(10)&amp;"Remito N° "&amp;A190&amp;CHAR(10)&amp;"Fecha entrega: "&amp;TEXT(C190,"DD/MM/YYYY")&amp;CHAR(10)&amp;"Cliente: "&amp;D190&amp;IF(E190&lt;&gt;"",", "&amp;E190,"")&amp;CHAR(10)&amp;"................................."&amp;CHAR(10)&amp;IF(F190&gt;0,"Alfajor Maicena x7: "&amp;F190&amp;" pack. x $"&amp;TEXT($T190,"#,##0")&amp;" = $"&amp;TEXT(F190*$T190,"#,##0")&amp;CHAR(10),"")&amp;IF(G190&gt;0,"Alfajor Frutal x7: "&amp;G190&amp;" pack. x $"&amp;TEXT($T190,"#,##0")&amp;" = $"&amp;TEXT(G190*$T190,"#,##0")&amp;CHAR(10),"")&amp;IF(H190&gt;0,"Alfajor Santafesino x7: "&amp;H190&amp;" pack. x $"&amp;TEXT($T190,"#,##0")&amp;" = $"&amp;TEXT(H190*$T190,"#,##0")&amp;CHAR(10),"")&amp;IF(I190&gt;0,"Alfajor Maicena x14: "&amp;I190&amp;" pack. x $"&amp;TEXT($U190,"#,##0")&amp;" = $"&amp;TEXT(I190*$U190,"#,##0")&amp;CHAR(10),"")&amp;IF(J190&gt;0,"Pepas DDL: "&amp;J190&amp;" band. x $"&amp;TEXT($V190,"#,##0")&amp;" = $"&amp;TEXT(J190*$V190,"#,##0")&amp;CHAR(10),"")&amp;IF(K190&gt;0,"Pepas Membrillo: "&amp;K190&amp;" band. x $"&amp;TEXT($V190,"#,##0")&amp;" = $"&amp;TEXT(K190*$V190,"#,##0")&amp;CHAR(10),"")&amp;IF(L190&gt;0,"Pepas Arándano: "&amp;L190&amp;" band. x $"&amp;TEXT($V190,"#,##0")&amp;" = $"&amp;TEXT(L190*$V190,"#,##0")&amp;CHAR(10),"")&amp;IF(M190&gt;0,"Pepas Batata: "&amp;M190&amp;" band. x $"&amp;TEXT($V190,"#,##0")&amp;" = $"&amp;TEXT(M190*$V190,"#,##0")&amp;CHAR(10),"")&amp;IF(N190&gt;0,"Pepas Frutos del Bosque: "&amp;N190&amp;" band. x $"&amp;TEXT($V190,"#,##0")&amp;" = $"&amp;TEXT(N190*$V190,"#,##0")&amp;CHAR(10),"")&amp;"................................."&amp;CHAR(10)&amp;"*TOTAL: $"&amp;TEXT(P190,"#,##0")&amp;"*"&amp;CHAR(10)&amp;CHAR(10)&amp;"¡Gracias por tu pedido! 🙏")</f>
        <v/>
      </c>
      <c r="T190" s="78">
        <f>IF(C190="",Config!$B$5,IF(C190&gt;=Config!$B$2,Config!$C$5,Config!$B$5))</f>
        <v/>
      </c>
      <c r="U190" s="78">
        <f>IF(C190="",Config!$B$8,IF(C190&gt;=Config!$B$2,Config!$C$8,Config!$B$8))</f>
        <v/>
      </c>
      <c r="V190" s="78">
        <f>IF(C190="",Config!$B$9,IF(C190&gt;=Config!$B$2,Config!$C$9,Config!$B$9))</f>
        <v/>
      </c>
    </row>
    <row r="191" ht="60" customHeight="1" s="55">
      <c r="A191" s="72">
        <f>IF(D191="","",ROW()-4)</f>
        <v/>
      </c>
      <c r="B191" s="73" t="n"/>
      <c r="C191" s="73" t="n"/>
      <c r="D191" s="74" t="n"/>
      <c r="E191" s="74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2">
        <f>IF(D191="","",SUM(F191:N191))</f>
        <v/>
      </c>
      <c r="P191" s="76">
        <f>IF(D191="","",(F191+G191+H191)*T191+I191*U191+(J191+K191+L191+M191+N191)*V191)</f>
        <v/>
      </c>
      <c r="Q191" s="74" t="n"/>
      <c r="R191" s="77">
        <f>IF(OR(D191="",O191=0),"","🥮 *NUESTRO ALFAJOR*"&amp;CHAR(10)&amp;"Remito N° "&amp;A191&amp;CHAR(10)&amp;"Fecha entrega: "&amp;TEXT(C191,"DD/MM/YYYY")&amp;CHAR(10)&amp;"Cliente: "&amp;D191&amp;IF(E191&lt;&gt;"",", "&amp;E191,"")&amp;CHAR(10)&amp;"................................."&amp;CHAR(10)&amp;IF(F191&gt;0,"Alfajor Maicena x7: "&amp;F191&amp;" pack. x $"&amp;TEXT($T191,"#,##0")&amp;" = $"&amp;TEXT(F191*$T191,"#,##0")&amp;CHAR(10),"")&amp;IF(G191&gt;0,"Alfajor Frutal x7: "&amp;G191&amp;" pack. x $"&amp;TEXT($T191,"#,##0")&amp;" = $"&amp;TEXT(G191*$T191,"#,##0")&amp;CHAR(10),"")&amp;IF(H191&gt;0,"Alfajor Santafesino x7: "&amp;H191&amp;" pack. x $"&amp;TEXT($T191,"#,##0")&amp;" = $"&amp;TEXT(H191*$T191,"#,##0")&amp;CHAR(10),"")&amp;IF(I191&gt;0,"Alfajor Maicena x14: "&amp;I191&amp;" pack. x $"&amp;TEXT($U191,"#,##0")&amp;" = $"&amp;TEXT(I191*$U191,"#,##0")&amp;CHAR(10),"")&amp;IF(J191&gt;0,"Pepas DDL: "&amp;J191&amp;" band. x $"&amp;TEXT($V191,"#,##0")&amp;" = $"&amp;TEXT(J191*$V191,"#,##0")&amp;CHAR(10),"")&amp;IF(K191&gt;0,"Pepas Membrillo: "&amp;K191&amp;" band. x $"&amp;TEXT($V191,"#,##0")&amp;" = $"&amp;TEXT(K191*$V191,"#,##0")&amp;CHAR(10),"")&amp;IF(L191&gt;0,"Pepas Arándano: "&amp;L191&amp;" band. x $"&amp;TEXT($V191,"#,##0")&amp;" = $"&amp;TEXT(L191*$V191,"#,##0")&amp;CHAR(10),"")&amp;IF(M191&gt;0,"Pepas Batata: "&amp;M191&amp;" band. x $"&amp;TEXT($V191,"#,##0")&amp;" = $"&amp;TEXT(M191*$V191,"#,##0")&amp;CHAR(10),"")&amp;IF(N191&gt;0,"Pepas Frutos del Bosque: "&amp;N191&amp;" band. x $"&amp;TEXT($V191,"#,##0")&amp;" = $"&amp;TEXT(N191*$V191,"#,##0")&amp;CHAR(10),"")&amp;"................................."&amp;CHAR(10)&amp;"*TOTAL: $"&amp;TEXT(P191,"#,##0")&amp;"*"&amp;CHAR(10)&amp;CHAR(10)&amp;"¡Gracias por tu pedido! 🙏")</f>
        <v/>
      </c>
      <c r="T191" s="78">
        <f>IF(C191="",Config!$B$5,IF(C191&gt;=Config!$B$2,Config!$C$5,Config!$B$5))</f>
        <v/>
      </c>
      <c r="U191" s="78">
        <f>IF(C191="",Config!$B$8,IF(C191&gt;=Config!$B$2,Config!$C$8,Config!$B$8))</f>
        <v/>
      </c>
      <c r="V191" s="78">
        <f>IF(C191="",Config!$B$9,IF(C191&gt;=Config!$B$2,Config!$C$9,Config!$B$9))</f>
        <v/>
      </c>
    </row>
    <row r="192" ht="60" customHeight="1" s="55">
      <c r="A192" s="72">
        <f>IF(D192="","",ROW()-4)</f>
        <v/>
      </c>
      <c r="B192" s="73" t="n"/>
      <c r="C192" s="73" t="n"/>
      <c r="D192" s="74" t="n"/>
      <c r="E192" s="74" t="n"/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2">
        <f>IF(D192="","",SUM(F192:N192))</f>
        <v/>
      </c>
      <c r="P192" s="76">
        <f>IF(D192="","",(F192+G192+H192)*T192+I192*U192+(J192+K192+L192+M192+N192)*V192)</f>
        <v/>
      </c>
      <c r="Q192" s="74" t="n"/>
      <c r="R192" s="77">
        <f>IF(OR(D192="",O192=0),"","🥮 *NUESTRO ALFAJOR*"&amp;CHAR(10)&amp;"Remito N° "&amp;A192&amp;CHAR(10)&amp;"Fecha entrega: "&amp;TEXT(C192,"DD/MM/YYYY")&amp;CHAR(10)&amp;"Cliente: "&amp;D192&amp;IF(E192&lt;&gt;"",", "&amp;E192,"")&amp;CHAR(10)&amp;"................................."&amp;CHAR(10)&amp;IF(F192&gt;0,"Alfajor Maicena x7: "&amp;F192&amp;" pack. x $"&amp;TEXT($T192,"#,##0")&amp;" = $"&amp;TEXT(F192*$T192,"#,##0")&amp;CHAR(10),"")&amp;IF(G192&gt;0,"Alfajor Frutal x7: "&amp;G192&amp;" pack. x $"&amp;TEXT($T192,"#,##0")&amp;" = $"&amp;TEXT(G192*$T192,"#,##0")&amp;CHAR(10),"")&amp;IF(H192&gt;0,"Alfajor Santafesino x7: "&amp;H192&amp;" pack. x $"&amp;TEXT($T192,"#,##0")&amp;" = $"&amp;TEXT(H192*$T192,"#,##0")&amp;CHAR(10),"")&amp;IF(I192&gt;0,"Alfajor Maicena x14: "&amp;I192&amp;" pack. x $"&amp;TEXT($U192,"#,##0")&amp;" = $"&amp;TEXT(I192*$U192,"#,##0")&amp;CHAR(10),"")&amp;IF(J192&gt;0,"Pepas DDL: "&amp;J192&amp;" band. x $"&amp;TEXT($V192,"#,##0")&amp;" = $"&amp;TEXT(J192*$V192,"#,##0")&amp;CHAR(10),"")&amp;IF(K192&gt;0,"Pepas Membrillo: "&amp;K192&amp;" band. x $"&amp;TEXT($V192,"#,##0")&amp;" = $"&amp;TEXT(K192*$V192,"#,##0")&amp;CHAR(10),"")&amp;IF(L192&gt;0,"Pepas Arándano: "&amp;L192&amp;" band. x $"&amp;TEXT($V192,"#,##0")&amp;" = $"&amp;TEXT(L192*$V192,"#,##0")&amp;CHAR(10),"")&amp;IF(M192&gt;0,"Pepas Batata: "&amp;M192&amp;" band. x $"&amp;TEXT($V192,"#,##0")&amp;" = $"&amp;TEXT(M192*$V192,"#,##0")&amp;CHAR(10),"")&amp;IF(N192&gt;0,"Pepas Frutos del Bosque: "&amp;N192&amp;" band. x $"&amp;TEXT($V192,"#,##0")&amp;" = $"&amp;TEXT(N192*$V192,"#,##0")&amp;CHAR(10),"")&amp;"................................."&amp;CHAR(10)&amp;"*TOTAL: $"&amp;TEXT(P192,"#,##0")&amp;"*"&amp;CHAR(10)&amp;CHAR(10)&amp;"¡Gracias por tu pedido! 🙏")</f>
        <v/>
      </c>
      <c r="T192" s="78">
        <f>IF(C192="",Config!$B$5,IF(C192&gt;=Config!$B$2,Config!$C$5,Config!$B$5))</f>
        <v/>
      </c>
      <c r="U192" s="78">
        <f>IF(C192="",Config!$B$8,IF(C192&gt;=Config!$B$2,Config!$C$8,Config!$B$8))</f>
        <v/>
      </c>
      <c r="V192" s="78">
        <f>IF(C192="",Config!$B$9,IF(C192&gt;=Config!$B$2,Config!$C$9,Config!$B$9))</f>
        <v/>
      </c>
    </row>
    <row r="193" ht="60" customHeight="1" s="55">
      <c r="A193" s="72">
        <f>IF(D193="","",ROW()-4)</f>
        <v/>
      </c>
      <c r="B193" s="73" t="n"/>
      <c r="C193" s="73" t="n"/>
      <c r="D193" s="74" t="n"/>
      <c r="E193" s="74" t="n"/>
      <c r="F193" s="75" t="n"/>
      <c r="G193" s="75" t="n"/>
      <c r="H193" s="75" t="n"/>
      <c r="I193" s="75" t="n"/>
      <c r="J193" s="75" t="n"/>
      <c r="K193" s="75" t="n"/>
      <c r="L193" s="75" t="n"/>
      <c r="M193" s="75" t="n"/>
      <c r="N193" s="75" t="n"/>
      <c r="O193" s="72">
        <f>IF(D193="","",SUM(F193:N193))</f>
        <v/>
      </c>
      <c r="P193" s="76">
        <f>IF(D193="","",(F193+G193+H193)*T193+I193*U193+(J193+K193+L193+M193+N193)*V193)</f>
        <v/>
      </c>
      <c r="Q193" s="74" t="n"/>
      <c r="R193" s="77">
        <f>IF(OR(D193="",O193=0),"","🥮 *NUESTRO ALFAJOR*"&amp;CHAR(10)&amp;"Remito N° "&amp;A193&amp;CHAR(10)&amp;"Fecha entrega: "&amp;TEXT(C193,"DD/MM/YYYY")&amp;CHAR(10)&amp;"Cliente: "&amp;D193&amp;IF(E193&lt;&gt;"",", "&amp;E193,"")&amp;CHAR(10)&amp;"................................."&amp;CHAR(10)&amp;IF(F193&gt;0,"Alfajor Maicena x7: "&amp;F193&amp;" pack. x $"&amp;TEXT($T193,"#,##0")&amp;" = $"&amp;TEXT(F193*$T193,"#,##0")&amp;CHAR(10),"")&amp;IF(G193&gt;0,"Alfajor Frutal x7: "&amp;G193&amp;" pack. x $"&amp;TEXT($T193,"#,##0")&amp;" = $"&amp;TEXT(G193*$T193,"#,##0")&amp;CHAR(10),"")&amp;IF(H193&gt;0,"Alfajor Santafesino x7: "&amp;H193&amp;" pack. x $"&amp;TEXT($T193,"#,##0")&amp;" = $"&amp;TEXT(H193*$T193,"#,##0")&amp;CHAR(10),"")&amp;IF(I193&gt;0,"Alfajor Maicena x14: "&amp;I193&amp;" pack. x $"&amp;TEXT($U193,"#,##0")&amp;" = $"&amp;TEXT(I193*$U193,"#,##0")&amp;CHAR(10),"")&amp;IF(J193&gt;0,"Pepas DDL: "&amp;J193&amp;" band. x $"&amp;TEXT($V193,"#,##0")&amp;" = $"&amp;TEXT(J193*$V193,"#,##0")&amp;CHAR(10),"")&amp;IF(K193&gt;0,"Pepas Membrillo: "&amp;K193&amp;" band. x $"&amp;TEXT($V193,"#,##0")&amp;" = $"&amp;TEXT(K193*$V193,"#,##0")&amp;CHAR(10),"")&amp;IF(L193&gt;0,"Pepas Arándano: "&amp;L193&amp;" band. x $"&amp;TEXT($V193,"#,##0")&amp;" = $"&amp;TEXT(L193*$V193,"#,##0")&amp;CHAR(10),"")&amp;IF(M193&gt;0,"Pepas Batata: "&amp;M193&amp;" band. x $"&amp;TEXT($V193,"#,##0")&amp;" = $"&amp;TEXT(M193*$V193,"#,##0")&amp;CHAR(10),"")&amp;IF(N193&gt;0,"Pepas Frutos del Bosque: "&amp;N193&amp;" band. x $"&amp;TEXT($V193,"#,##0")&amp;" = $"&amp;TEXT(N193*$V193,"#,##0")&amp;CHAR(10),"")&amp;"................................."&amp;CHAR(10)&amp;"*TOTAL: $"&amp;TEXT(P193,"#,##0")&amp;"*"&amp;CHAR(10)&amp;CHAR(10)&amp;"¡Gracias por tu pedido! 🙏")</f>
        <v/>
      </c>
      <c r="T193" s="78">
        <f>IF(C193="",Config!$B$5,IF(C193&gt;=Config!$B$2,Config!$C$5,Config!$B$5))</f>
        <v/>
      </c>
      <c r="U193" s="78">
        <f>IF(C193="",Config!$B$8,IF(C193&gt;=Config!$B$2,Config!$C$8,Config!$B$8))</f>
        <v/>
      </c>
      <c r="V193" s="78">
        <f>IF(C193="",Config!$B$9,IF(C193&gt;=Config!$B$2,Config!$C$9,Config!$B$9))</f>
        <v/>
      </c>
    </row>
    <row r="194" ht="60" customHeight="1" s="55">
      <c r="A194" s="72">
        <f>IF(D194="","",ROW()-4)</f>
        <v/>
      </c>
      <c r="B194" s="73" t="n"/>
      <c r="C194" s="73" t="n"/>
      <c r="D194" s="74" t="n"/>
      <c r="E194" s="74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2">
        <f>IF(D194="","",SUM(F194:N194))</f>
        <v/>
      </c>
      <c r="P194" s="76">
        <f>IF(D194="","",(F194+G194+H194)*T194+I194*U194+(J194+K194+L194+M194+N194)*V194)</f>
        <v/>
      </c>
      <c r="Q194" s="74" t="n"/>
      <c r="R194" s="77">
        <f>IF(OR(D194="",O194=0),"","🥮 *NUESTRO ALFAJOR*"&amp;CHAR(10)&amp;"Remito N° "&amp;A194&amp;CHAR(10)&amp;"Fecha entrega: "&amp;TEXT(C194,"DD/MM/YYYY")&amp;CHAR(10)&amp;"Cliente: "&amp;D194&amp;IF(E194&lt;&gt;"",", "&amp;E194,"")&amp;CHAR(10)&amp;"................................."&amp;CHAR(10)&amp;IF(F194&gt;0,"Alfajor Maicena x7: "&amp;F194&amp;" pack. x $"&amp;TEXT($T194,"#,##0")&amp;" = $"&amp;TEXT(F194*$T194,"#,##0")&amp;CHAR(10),"")&amp;IF(G194&gt;0,"Alfajor Frutal x7: "&amp;G194&amp;" pack. x $"&amp;TEXT($T194,"#,##0")&amp;" = $"&amp;TEXT(G194*$T194,"#,##0")&amp;CHAR(10),"")&amp;IF(H194&gt;0,"Alfajor Santafesino x7: "&amp;H194&amp;" pack. x $"&amp;TEXT($T194,"#,##0")&amp;" = $"&amp;TEXT(H194*$T194,"#,##0")&amp;CHAR(10),"")&amp;IF(I194&gt;0,"Alfajor Maicena x14: "&amp;I194&amp;" pack. x $"&amp;TEXT($U194,"#,##0")&amp;" = $"&amp;TEXT(I194*$U194,"#,##0")&amp;CHAR(10),"")&amp;IF(J194&gt;0,"Pepas DDL: "&amp;J194&amp;" band. x $"&amp;TEXT($V194,"#,##0")&amp;" = $"&amp;TEXT(J194*$V194,"#,##0")&amp;CHAR(10),"")&amp;IF(K194&gt;0,"Pepas Membrillo: "&amp;K194&amp;" band. x $"&amp;TEXT($V194,"#,##0")&amp;" = $"&amp;TEXT(K194*$V194,"#,##0")&amp;CHAR(10),"")&amp;IF(L194&gt;0,"Pepas Arándano: "&amp;L194&amp;" band. x $"&amp;TEXT($V194,"#,##0")&amp;" = $"&amp;TEXT(L194*$V194,"#,##0")&amp;CHAR(10),"")&amp;IF(M194&gt;0,"Pepas Batata: "&amp;M194&amp;" band. x $"&amp;TEXT($V194,"#,##0")&amp;" = $"&amp;TEXT(M194*$V194,"#,##0")&amp;CHAR(10),"")&amp;IF(N194&gt;0,"Pepas Frutos del Bosque: "&amp;N194&amp;" band. x $"&amp;TEXT($V194,"#,##0")&amp;" = $"&amp;TEXT(N194*$V194,"#,##0")&amp;CHAR(10),"")&amp;"................................."&amp;CHAR(10)&amp;"*TOTAL: $"&amp;TEXT(P194,"#,##0")&amp;"*"&amp;CHAR(10)&amp;CHAR(10)&amp;"¡Gracias por tu pedido! 🙏")</f>
        <v/>
      </c>
      <c r="T194" s="78">
        <f>IF(C194="",Config!$B$5,IF(C194&gt;=Config!$B$2,Config!$C$5,Config!$B$5))</f>
        <v/>
      </c>
      <c r="U194" s="78">
        <f>IF(C194="",Config!$B$8,IF(C194&gt;=Config!$B$2,Config!$C$8,Config!$B$8))</f>
        <v/>
      </c>
      <c r="V194" s="78">
        <f>IF(C194="",Config!$B$9,IF(C194&gt;=Config!$B$2,Config!$C$9,Config!$B$9))</f>
        <v/>
      </c>
    </row>
    <row r="195" ht="60" customHeight="1" s="55">
      <c r="A195" s="72">
        <f>IF(D195="","",ROW()-4)</f>
        <v/>
      </c>
      <c r="B195" s="73" t="n"/>
      <c r="C195" s="73" t="n"/>
      <c r="D195" s="74" t="n"/>
      <c r="E195" s="74" t="n"/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2">
        <f>IF(D195="","",SUM(F195:N195))</f>
        <v/>
      </c>
      <c r="P195" s="76">
        <f>IF(D195="","",(F195+G195+H195)*T195+I195*U195+(J195+K195+L195+M195+N195)*V195)</f>
        <v/>
      </c>
      <c r="Q195" s="74" t="n"/>
      <c r="R195" s="77">
        <f>IF(OR(D195="",O195=0),"","🥮 *NUESTRO ALFAJOR*"&amp;CHAR(10)&amp;"Remito N° "&amp;A195&amp;CHAR(10)&amp;"Fecha entrega: "&amp;TEXT(C195,"DD/MM/YYYY")&amp;CHAR(10)&amp;"Cliente: "&amp;D195&amp;IF(E195&lt;&gt;"",", "&amp;E195,"")&amp;CHAR(10)&amp;"................................."&amp;CHAR(10)&amp;IF(F195&gt;0,"Alfajor Maicena x7: "&amp;F195&amp;" pack. x $"&amp;TEXT($T195,"#,##0")&amp;" = $"&amp;TEXT(F195*$T195,"#,##0")&amp;CHAR(10),"")&amp;IF(G195&gt;0,"Alfajor Frutal x7: "&amp;G195&amp;" pack. x $"&amp;TEXT($T195,"#,##0")&amp;" = $"&amp;TEXT(G195*$T195,"#,##0")&amp;CHAR(10),"")&amp;IF(H195&gt;0,"Alfajor Santafesino x7: "&amp;H195&amp;" pack. x $"&amp;TEXT($T195,"#,##0")&amp;" = $"&amp;TEXT(H195*$T195,"#,##0")&amp;CHAR(10),"")&amp;IF(I195&gt;0,"Alfajor Maicena x14: "&amp;I195&amp;" pack. x $"&amp;TEXT($U195,"#,##0")&amp;" = $"&amp;TEXT(I195*$U195,"#,##0")&amp;CHAR(10),"")&amp;IF(J195&gt;0,"Pepas DDL: "&amp;J195&amp;" band. x $"&amp;TEXT($V195,"#,##0")&amp;" = $"&amp;TEXT(J195*$V195,"#,##0")&amp;CHAR(10),"")&amp;IF(K195&gt;0,"Pepas Membrillo: "&amp;K195&amp;" band. x $"&amp;TEXT($V195,"#,##0")&amp;" = $"&amp;TEXT(K195*$V195,"#,##0")&amp;CHAR(10),"")&amp;IF(L195&gt;0,"Pepas Arándano: "&amp;L195&amp;" band. x $"&amp;TEXT($V195,"#,##0")&amp;" = $"&amp;TEXT(L195*$V195,"#,##0")&amp;CHAR(10),"")&amp;IF(M195&gt;0,"Pepas Batata: "&amp;M195&amp;" band. x $"&amp;TEXT($V195,"#,##0")&amp;" = $"&amp;TEXT(M195*$V195,"#,##0")&amp;CHAR(10),"")&amp;IF(N195&gt;0,"Pepas Frutos del Bosque: "&amp;N195&amp;" band. x $"&amp;TEXT($V195,"#,##0")&amp;" = $"&amp;TEXT(N195*$V195,"#,##0")&amp;CHAR(10),"")&amp;"................................."&amp;CHAR(10)&amp;"*TOTAL: $"&amp;TEXT(P195,"#,##0")&amp;"*"&amp;CHAR(10)&amp;CHAR(10)&amp;"¡Gracias por tu pedido! 🙏")</f>
        <v/>
      </c>
      <c r="T195" s="78">
        <f>IF(C195="",Config!$B$5,IF(C195&gt;=Config!$B$2,Config!$C$5,Config!$B$5))</f>
        <v/>
      </c>
      <c r="U195" s="78">
        <f>IF(C195="",Config!$B$8,IF(C195&gt;=Config!$B$2,Config!$C$8,Config!$B$8))</f>
        <v/>
      </c>
      <c r="V195" s="78">
        <f>IF(C195="",Config!$B$9,IF(C195&gt;=Config!$B$2,Config!$C$9,Config!$B$9))</f>
        <v/>
      </c>
    </row>
    <row r="196" ht="60" customHeight="1" s="55">
      <c r="A196" s="72">
        <f>IF(D196="","",ROW()-4)</f>
        <v/>
      </c>
      <c r="B196" s="73" t="n"/>
      <c r="C196" s="73" t="n"/>
      <c r="D196" s="74" t="n"/>
      <c r="E196" s="74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2">
        <f>IF(D196="","",SUM(F196:N196))</f>
        <v/>
      </c>
      <c r="P196" s="76">
        <f>IF(D196="","",(F196+G196+H196)*T196+I196*U196+(J196+K196+L196+M196+N196)*V196)</f>
        <v/>
      </c>
      <c r="Q196" s="74" t="n"/>
      <c r="R196" s="77">
        <f>IF(OR(D196="",O196=0),"","🥮 *NUESTRO ALFAJOR*"&amp;CHAR(10)&amp;"Remito N° "&amp;A196&amp;CHAR(10)&amp;"Fecha entrega: "&amp;TEXT(C196,"DD/MM/YYYY")&amp;CHAR(10)&amp;"Cliente: "&amp;D196&amp;IF(E196&lt;&gt;"",", "&amp;E196,"")&amp;CHAR(10)&amp;"................................."&amp;CHAR(10)&amp;IF(F196&gt;0,"Alfajor Maicena x7: "&amp;F196&amp;" pack. x $"&amp;TEXT($T196,"#,##0")&amp;" = $"&amp;TEXT(F196*$T196,"#,##0")&amp;CHAR(10),"")&amp;IF(G196&gt;0,"Alfajor Frutal x7: "&amp;G196&amp;" pack. x $"&amp;TEXT($T196,"#,##0")&amp;" = $"&amp;TEXT(G196*$T196,"#,##0")&amp;CHAR(10),"")&amp;IF(H196&gt;0,"Alfajor Santafesino x7: "&amp;H196&amp;" pack. x $"&amp;TEXT($T196,"#,##0")&amp;" = $"&amp;TEXT(H196*$T196,"#,##0")&amp;CHAR(10),"")&amp;IF(I196&gt;0,"Alfajor Maicena x14: "&amp;I196&amp;" pack. x $"&amp;TEXT($U196,"#,##0")&amp;" = $"&amp;TEXT(I196*$U196,"#,##0")&amp;CHAR(10),"")&amp;IF(J196&gt;0,"Pepas DDL: "&amp;J196&amp;" band. x $"&amp;TEXT($V196,"#,##0")&amp;" = $"&amp;TEXT(J196*$V196,"#,##0")&amp;CHAR(10),"")&amp;IF(K196&gt;0,"Pepas Membrillo: "&amp;K196&amp;" band. x $"&amp;TEXT($V196,"#,##0")&amp;" = $"&amp;TEXT(K196*$V196,"#,##0")&amp;CHAR(10),"")&amp;IF(L196&gt;0,"Pepas Arándano: "&amp;L196&amp;" band. x $"&amp;TEXT($V196,"#,##0")&amp;" = $"&amp;TEXT(L196*$V196,"#,##0")&amp;CHAR(10),"")&amp;IF(M196&gt;0,"Pepas Batata: "&amp;M196&amp;" band. x $"&amp;TEXT($V196,"#,##0")&amp;" = $"&amp;TEXT(M196*$V196,"#,##0")&amp;CHAR(10),"")&amp;IF(N196&gt;0,"Pepas Frutos del Bosque: "&amp;N196&amp;" band. x $"&amp;TEXT($V196,"#,##0")&amp;" = $"&amp;TEXT(N196*$V196,"#,##0")&amp;CHAR(10),"")&amp;"................................."&amp;CHAR(10)&amp;"*TOTAL: $"&amp;TEXT(P196,"#,##0")&amp;"*"&amp;CHAR(10)&amp;CHAR(10)&amp;"¡Gracias por tu pedido! 🙏")</f>
        <v/>
      </c>
      <c r="T196" s="78">
        <f>IF(C196="",Config!$B$5,IF(C196&gt;=Config!$B$2,Config!$C$5,Config!$B$5))</f>
        <v/>
      </c>
      <c r="U196" s="78">
        <f>IF(C196="",Config!$B$8,IF(C196&gt;=Config!$B$2,Config!$C$8,Config!$B$8))</f>
        <v/>
      </c>
      <c r="V196" s="78">
        <f>IF(C196="",Config!$B$9,IF(C196&gt;=Config!$B$2,Config!$C$9,Config!$B$9))</f>
        <v/>
      </c>
    </row>
    <row r="197" ht="60" customHeight="1" s="55">
      <c r="A197" s="72">
        <f>IF(D197="","",ROW()-4)</f>
        <v/>
      </c>
      <c r="B197" s="73" t="n"/>
      <c r="C197" s="73" t="n"/>
      <c r="D197" s="74" t="n"/>
      <c r="E197" s="74" t="n"/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2">
        <f>IF(D197="","",SUM(F197:N197))</f>
        <v/>
      </c>
      <c r="P197" s="76">
        <f>IF(D197="","",(F197+G197+H197)*T197+I197*U197+(J197+K197+L197+M197+N197)*V197)</f>
        <v/>
      </c>
      <c r="Q197" s="74" t="n"/>
      <c r="R197" s="77">
        <f>IF(OR(D197="",O197=0),"","🥮 *NUESTRO ALFAJOR*"&amp;CHAR(10)&amp;"Remito N° "&amp;A197&amp;CHAR(10)&amp;"Fecha entrega: "&amp;TEXT(C197,"DD/MM/YYYY")&amp;CHAR(10)&amp;"Cliente: "&amp;D197&amp;IF(E197&lt;&gt;"",", "&amp;E197,"")&amp;CHAR(10)&amp;"................................."&amp;CHAR(10)&amp;IF(F197&gt;0,"Alfajor Maicena x7: "&amp;F197&amp;" pack. x $"&amp;TEXT($T197,"#,##0")&amp;" = $"&amp;TEXT(F197*$T197,"#,##0")&amp;CHAR(10),"")&amp;IF(G197&gt;0,"Alfajor Frutal x7: "&amp;G197&amp;" pack. x $"&amp;TEXT($T197,"#,##0")&amp;" = $"&amp;TEXT(G197*$T197,"#,##0")&amp;CHAR(10),"")&amp;IF(H197&gt;0,"Alfajor Santafesino x7: "&amp;H197&amp;" pack. x $"&amp;TEXT($T197,"#,##0")&amp;" = $"&amp;TEXT(H197*$T197,"#,##0")&amp;CHAR(10),"")&amp;IF(I197&gt;0,"Alfajor Maicena x14: "&amp;I197&amp;" pack. x $"&amp;TEXT($U197,"#,##0")&amp;" = $"&amp;TEXT(I197*$U197,"#,##0")&amp;CHAR(10),"")&amp;IF(J197&gt;0,"Pepas DDL: "&amp;J197&amp;" band. x $"&amp;TEXT($V197,"#,##0")&amp;" = $"&amp;TEXT(J197*$V197,"#,##0")&amp;CHAR(10),"")&amp;IF(K197&gt;0,"Pepas Membrillo: "&amp;K197&amp;" band. x $"&amp;TEXT($V197,"#,##0")&amp;" = $"&amp;TEXT(K197*$V197,"#,##0")&amp;CHAR(10),"")&amp;IF(L197&gt;0,"Pepas Arándano: "&amp;L197&amp;" band. x $"&amp;TEXT($V197,"#,##0")&amp;" = $"&amp;TEXT(L197*$V197,"#,##0")&amp;CHAR(10),"")&amp;IF(M197&gt;0,"Pepas Batata: "&amp;M197&amp;" band. x $"&amp;TEXT($V197,"#,##0")&amp;" = $"&amp;TEXT(M197*$V197,"#,##0")&amp;CHAR(10),"")&amp;IF(N197&gt;0,"Pepas Frutos del Bosque: "&amp;N197&amp;" band. x $"&amp;TEXT($V197,"#,##0")&amp;" = $"&amp;TEXT(N197*$V197,"#,##0")&amp;CHAR(10),"")&amp;"................................."&amp;CHAR(10)&amp;"*TOTAL: $"&amp;TEXT(P197,"#,##0")&amp;"*"&amp;CHAR(10)&amp;CHAR(10)&amp;"¡Gracias por tu pedido! 🙏")</f>
        <v/>
      </c>
      <c r="T197" s="78">
        <f>IF(C197="",Config!$B$5,IF(C197&gt;=Config!$B$2,Config!$C$5,Config!$B$5))</f>
        <v/>
      </c>
      <c r="U197" s="78">
        <f>IF(C197="",Config!$B$8,IF(C197&gt;=Config!$B$2,Config!$C$8,Config!$B$8))</f>
        <v/>
      </c>
      <c r="V197" s="78">
        <f>IF(C197="",Config!$B$9,IF(C197&gt;=Config!$B$2,Config!$C$9,Config!$B$9))</f>
        <v/>
      </c>
    </row>
    <row r="198" ht="60" customHeight="1" s="55">
      <c r="A198" s="72">
        <f>IF(D198="","",ROW()-4)</f>
        <v/>
      </c>
      <c r="B198" s="73" t="n"/>
      <c r="C198" s="73" t="n"/>
      <c r="D198" s="74" t="n"/>
      <c r="E198" s="74" t="n"/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2">
        <f>IF(D198="","",SUM(F198:N198))</f>
        <v/>
      </c>
      <c r="P198" s="76">
        <f>IF(D198="","",(F198+G198+H198)*T198+I198*U198+(J198+K198+L198+M198+N198)*V198)</f>
        <v/>
      </c>
      <c r="Q198" s="74" t="n"/>
      <c r="R198" s="77">
        <f>IF(OR(D198="",O198=0),"","🥮 *NUESTRO ALFAJOR*"&amp;CHAR(10)&amp;"Remito N° "&amp;A198&amp;CHAR(10)&amp;"Fecha entrega: "&amp;TEXT(C198,"DD/MM/YYYY")&amp;CHAR(10)&amp;"Cliente: "&amp;D198&amp;IF(E198&lt;&gt;"",", "&amp;E198,"")&amp;CHAR(10)&amp;"................................."&amp;CHAR(10)&amp;IF(F198&gt;0,"Alfajor Maicena x7: "&amp;F198&amp;" pack. x $"&amp;TEXT($T198,"#,##0")&amp;" = $"&amp;TEXT(F198*$T198,"#,##0")&amp;CHAR(10),"")&amp;IF(G198&gt;0,"Alfajor Frutal x7: "&amp;G198&amp;" pack. x $"&amp;TEXT($T198,"#,##0")&amp;" = $"&amp;TEXT(G198*$T198,"#,##0")&amp;CHAR(10),"")&amp;IF(H198&gt;0,"Alfajor Santafesino x7: "&amp;H198&amp;" pack. x $"&amp;TEXT($T198,"#,##0")&amp;" = $"&amp;TEXT(H198*$T198,"#,##0")&amp;CHAR(10),"")&amp;IF(I198&gt;0,"Alfajor Maicena x14: "&amp;I198&amp;" pack. x $"&amp;TEXT($U198,"#,##0")&amp;" = $"&amp;TEXT(I198*$U198,"#,##0")&amp;CHAR(10),"")&amp;IF(J198&gt;0,"Pepas DDL: "&amp;J198&amp;" band. x $"&amp;TEXT($V198,"#,##0")&amp;" = $"&amp;TEXT(J198*$V198,"#,##0")&amp;CHAR(10),"")&amp;IF(K198&gt;0,"Pepas Membrillo: "&amp;K198&amp;" band. x $"&amp;TEXT($V198,"#,##0")&amp;" = $"&amp;TEXT(K198*$V198,"#,##0")&amp;CHAR(10),"")&amp;IF(L198&gt;0,"Pepas Arándano: "&amp;L198&amp;" band. x $"&amp;TEXT($V198,"#,##0")&amp;" = $"&amp;TEXT(L198*$V198,"#,##0")&amp;CHAR(10),"")&amp;IF(M198&gt;0,"Pepas Batata: "&amp;M198&amp;" band. x $"&amp;TEXT($V198,"#,##0")&amp;" = $"&amp;TEXT(M198*$V198,"#,##0")&amp;CHAR(10),"")&amp;IF(N198&gt;0,"Pepas Frutos del Bosque: "&amp;N198&amp;" band. x $"&amp;TEXT($V198,"#,##0")&amp;" = $"&amp;TEXT(N198*$V198,"#,##0")&amp;CHAR(10),"")&amp;"................................."&amp;CHAR(10)&amp;"*TOTAL: $"&amp;TEXT(P198,"#,##0")&amp;"*"&amp;CHAR(10)&amp;CHAR(10)&amp;"¡Gracias por tu pedido! 🙏")</f>
        <v/>
      </c>
      <c r="T198" s="78">
        <f>IF(C198="",Config!$B$5,IF(C198&gt;=Config!$B$2,Config!$C$5,Config!$B$5))</f>
        <v/>
      </c>
      <c r="U198" s="78">
        <f>IF(C198="",Config!$B$8,IF(C198&gt;=Config!$B$2,Config!$C$8,Config!$B$8))</f>
        <v/>
      </c>
      <c r="V198" s="78">
        <f>IF(C198="",Config!$B$9,IF(C198&gt;=Config!$B$2,Config!$C$9,Config!$B$9))</f>
        <v/>
      </c>
    </row>
    <row r="199" ht="60" customHeight="1" s="55">
      <c r="A199" s="72">
        <f>IF(D199="","",ROW()-4)</f>
        <v/>
      </c>
      <c r="B199" s="73" t="n"/>
      <c r="C199" s="73" t="n"/>
      <c r="D199" s="74" t="n"/>
      <c r="E199" s="74" t="n"/>
      <c r="F199" s="75" t="n"/>
      <c r="G199" s="75" t="n"/>
      <c r="H199" s="75" t="n"/>
      <c r="I199" s="75" t="n"/>
      <c r="J199" s="75" t="n"/>
      <c r="K199" s="75" t="n"/>
      <c r="L199" s="75" t="n"/>
      <c r="M199" s="75" t="n"/>
      <c r="N199" s="75" t="n"/>
      <c r="O199" s="72">
        <f>IF(D199="","",SUM(F199:N199))</f>
        <v/>
      </c>
      <c r="P199" s="76">
        <f>IF(D199="","",(F199+G199+H199)*T199+I199*U199+(J199+K199+L199+M199+N199)*V199)</f>
        <v/>
      </c>
      <c r="Q199" s="74" t="n"/>
      <c r="R199" s="77">
        <f>IF(OR(D199="",O199=0),"","🥮 *NUESTRO ALFAJOR*"&amp;CHAR(10)&amp;"Remito N° "&amp;A199&amp;CHAR(10)&amp;"Fecha entrega: "&amp;TEXT(C199,"DD/MM/YYYY")&amp;CHAR(10)&amp;"Cliente: "&amp;D199&amp;IF(E199&lt;&gt;"",", "&amp;E199,"")&amp;CHAR(10)&amp;"................................."&amp;CHAR(10)&amp;IF(F199&gt;0,"Alfajor Maicena x7: "&amp;F199&amp;" pack. x $"&amp;TEXT($T199,"#,##0")&amp;" = $"&amp;TEXT(F199*$T199,"#,##0")&amp;CHAR(10),"")&amp;IF(G199&gt;0,"Alfajor Frutal x7: "&amp;G199&amp;" pack. x $"&amp;TEXT($T199,"#,##0")&amp;" = $"&amp;TEXT(G199*$T199,"#,##0")&amp;CHAR(10),"")&amp;IF(H199&gt;0,"Alfajor Santafesino x7: "&amp;H199&amp;" pack. x $"&amp;TEXT($T199,"#,##0")&amp;" = $"&amp;TEXT(H199*$T199,"#,##0")&amp;CHAR(10),"")&amp;IF(I199&gt;0,"Alfajor Maicena x14: "&amp;I199&amp;" pack. x $"&amp;TEXT($U199,"#,##0")&amp;" = $"&amp;TEXT(I199*$U199,"#,##0")&amp;CHAR(10),"")&amp;IF(J199&gt;0,"Pepas DDL: "&amp;J199&amp;" band. x $"&amp;TEXT($V199,"#,##0")&amp;" = $"&amp;TEXT(J199*$V199,"#,##0")&amp;CHAR(10),"")&amp;IF(K199&gt;0,"Pepas Membrillo: "&amp;K199&amp;" band. x $"&amp;TEXT($V199,"#,##0")&amp;" = $"&amp;TEXT(K199*$V199,"#,##0")&amp;CHAR(10),"")&amp;IF(L199&gt;0,"Pepas Arándano: "&amp;L199&amp;" band. x $"&amp;TEXT($V199,"#,##0")&amp;" = $"&amp;TEXT(L199*$V199,"#,##0")&amp;CHAR(10),"")&amp;IF(M199&gt;0,"Pepas Batata: "&amp;M199&amp;" band. x $"&amp;TEXT($V199,"#,##0")&amp;" = $"&amp;TEXT(M199*$V199,"#,##0")&amp;CHAR(10),"")&amp;IF(N199&gt;0,"Pepas Frutos del Bosque: "&amp;N199&amp;" band. x $"&amp;TEXT($V199,"#,##0")&amp;" = $"&amp;TEXT(N199*$V199,"#,##0")&amp;CHAR(10),"")&amp;"................................."&amp;CHAR(10)&amp;"*TOTAL: $"&amp;TEXT(P199,"#,##0")&amp;"*"&amp;CHAR(10)&amp;CHAR(10)&amp;"¡Gracias por tu pedido! 🙏")</f>
        <v/>
      </c>
      <c r="T199" s="78">
        <f>IF(C199="",Config!$B$5,IF(C199&gt;=Config!$B$2,Config!$C$5,Config!$B$5))</f>
        <v/>
      </c>
      <c r="U199" s="78">
        <f>IF(C199="",Config!$B$8,IF(C199&gt;=Config!$B$2,Config!$C$8,Config!$B$8))</f>
        <v/>
      </c>
      <c r="V199" s="78">
        <f>IF(C199="",Config!$B$9,IF(C199&gt;=Config!$B$2,Config!$C$9,Config!$B$9))</f>
        <v/>
      </c>
    </row>
    <row r="200" ht="60" customHeight="1" s="55">
      <c r="A200" s="72">
        <f>IF(D200="","",ROW()-4)</f>
        <v/>
      </c>
      <c r="B200" s="73" t="n"/>
      <c r="C200" s="73" t="n"/>
      <c r="D200" s="74" t="n"/>
      <c r="E200" s="74" t="n"/>
      <c r="F200" s="75" t="n"/>
      <c r="G200" s="75" t="n"/>
      <c r="H200" s="75" t="n"/>
      <c r="I200" s="75" t="n"/>
      <c r="J200" s="75" t="n"/>
      <c r="K200" s="75" t="n"/>
      <c r="L200" s="75" t="n"/>
      <c r="M200" s="75" t="n"/>
      <c r="N200" s="75" t="n"/>
      <c r="O200" s="72">
        <f>IF(D200="","",SUM(F200:N200))</f>
        <v/>
      </c>
      <c r="P200" s="76">
        <f>IF(D200="","",(F200+G200+H200)*T200+I200*U200+(J200+K200+L200+M200+N200)*V200)</f>
        <v/>
      </c>
      <c r="Q200" s="74" t="n"/>
      <c r="R200" s="77">
        <f>IF(OR(D200="",O200=0),"","🥮 *NUESTRO ALFAJOR*"&amp;CHAR(10)&amp;"Remito N° "&amp;A200&amp;CHAR(10)&amp;"Fecha entrega: "&amp;TEXT(C200,"DD/MM/YYYY")&amp;CHAR(10)&amp;"Cliente: "&amp;D200&amp;IF(E200&lt;&gt;"",", "&amp;E200,"")&amp;CHAR(10)&amp;"................................."&amp;CHAR(10)&amp;IF(F200&gt;0,"Alfajor Maicena x7: "&amp;F200&amp;" pack. x $"&amp;TEXT($T200,"#,##0")&amp;" = $"&amp;TEXT(F200*$T200,"#,##0")&amp;CHAR(10),"")&amp;IF(G200&gt;0,"Alfajor Frutal x7: "&amp;G200&amp;" pack. x $"&amp;TEXT($T200,"#,##0")&amp;" = $"&amp;TEXT(G200*$T200,"#,##0")&amp;CHAR(10),"")&amp;IF(H200&gt;0,"Alfajor Santafesino x7: "&amp;H200&amp;" pack. x $"&amp;TEXT($T200,"#,##0")&amp;" = $"&amp;TEXT(H200*$T200,"#,##0")&amp;CHAR(10),"")&amp;IF(I200&gt;0,"Alfajor Maicena x14: "&amp;I200&amp;" pack. x $"&amp;TEXT($U200,"#,##0")&amp;" = $"&amp;TEXT(I200*$U200,"#,##0")&amp;CHAR(10),"")&amp;IF(J200&gt;0,"Pepas DDL: "&amp;J200&amp;" band. x $"&amp;TEXT($V200,"#,##0")&amp;" = $"&amp;TEXT(J200*$V200,"#,##0")&amp;CHAR(10),"")&amp;IF(K200&gt;0,"Pepas Membrillo: "&amp;K200&amp;" band. x $"&amp;TEXT($V200,"#,##0")&amp;" = $"&amp;TEXT(K200*$V200,"#,##0")&amp;CHAR(10),"")&amp;IF(L200&gt;0,"Pepas Arándano: "&amp;L200&amp;" band. x $"&amp;TEXT($V200,"#,##0")&amp;" = $"&amp;TEXT(L200*$V200,"#,##0")&amp;CHAR(10),"")&amp;IF(M200&gt;0,"Pepas Batata: "&amp;M200&amp;" band. x $"&amp;TEXT($V200,"#,##0")&amp;" = $"&amp;TEXT(M200*$V200,"#,##0")&amp;CHAR(10),"")&amp;IF(N200&gt;0,"Pepas Frutos del Bosque: "&amp;N200&amp;" band. x $"&amp;TEXT($V200,"#,##0")&amp;" = $"&amp;TEXT(N200*$V200,"#,##0")&amp;CHAR(10),"")&amp;"................................."&amp;CHAR(10)&amp;"*TOTAL: $"&amp;TEXT(P200,"#,##0")&amp;"*"&amp;CHAR(10)&amp;CHAR(10)&amp;"¡Gracias por tu pedido! 🙏")</f>
        <v/>
      </c>
      <c r="T200" s="78">
        <f>IF(C200="",Config!$B$5,IF(C200&gt;=Config!$B$2,Config!$C$5,Config!$B$5))</f>
        <v/>
      </c>
      <c r="U200" s="78">
        <f>IF(C200="",Config!$B$8,IF(C200&gt;=Config!$B$2,Config!$C$8,Config!$B$8))</f>
        <v/>
      </c>
      <c r="V200" s="78">
        <f>IF(C200="",Config!$B$9,IF(C200&gt;=Config!$B$2,Config!$C$9,Config!$B$9))</f>
        <v/>
      </c>
    </row>
    <row r="201" ht="60" customHeight="1" s="55">
      <c r="A201" s="72">
        <f>IF(D201="","",ROW()-4)</f>
        <v/>
      </c>
      <c r="B201" s="73" t="n"/>
      <c r="C201" s="73" t="n"/>
      <c r="D201" s="74" t="n"/>
      <c r="E201" s="74" t="n"/>
      <c r="F201" s="75" t="n"/>
      <c r="G201" s="75" t="n"/>
      <c r="H201" s="75" t="n"/>
      <c r="I201" s="75" t="n"/>
      <c r="J201" s="75" t="n"/>
      <c r="K201" s="75" t="n"/>
      <c r="L201" s="75" t="n"/>
      <c r="M201" s="75" t="n"/>
      <c r="N201" s="75" t="n"/>
      <c r="O201" s="72">
        <f>IF(D201="","",SUM(F201:N201))</f>
        <v/>
      </c>
      <c r="P201" s="76">
        <f>IF(D201="","",(F201+G201+H201)*T201+I201*U201+(J201+K201+L201+M201+N201)*V201)</f>
        <v/>
      </c>
      <c r="Q201" s="74" t="n"/>
      <c r="R201" s="77">
        <f>IF(OR(D201="",O201=0),"","🥮 *NUESTRO ALFAJOR*"&amp;CHAR(10)&amp;"Remito N° "&amp;A201&amp;CHAR(10)&amp;"Fecha entrega: "&amp;TEXT(C201,"DD/MM/YYYY")&amp;CHAR(10)&amp;"Cliente: "&amp;D201&amp;IF(E201&lt;&gt;"",", "&amp;E201,"")&amp;CHAR(10)&amp;"................................."&amp;CHAR(10)&amp;IF(F201&gt;0,"Alfajor Maicena x7: "&amp;F201&amp;" pack. x $"&amp;TEXT($T201,"#,##0")&amp;" = $"&amp;TEXT(F201*$T201,"#,##0")&amp;CHAR(10),"")&amp;IF(G201&gt;0,"Alfajor Frutal x7: "&amp;G201&amp;" pack. x $"&amp;TEXT($T201,"#,##0")&amp;" = $"&amp;TEXT(G201*$T201,"#,##0")&amp;CHAR(10),"")&amp;IF(H201&gt;0,"Alfajor Santafesino x7: "&amp;H201&amp;" pack. x $"&amp;TEXT($T201,"#,##0")&amp;" = $"&amp;TEXT(H201*$T201,"#,##0")&amp;CHAR(10),"")&amp;IF(I201&gt;0,"Alfajor Maicena x14: "&amp;I201&amp;" pack. x $"&amp;TEXT($U201,"#,##0")&amp;" = $"&amp;TEXT(I201*$U201,"#,##0")&amp;CHAR(10),"")&amp;IF(J201&gt;0,"Pepas DDL: "&amp;J201&amp;" band. x $"&amp;TEXT($V201,"#,##0")&amp;" = $"&amp;TEXT(J201*$V201,"#,##0")&amp;CHAR(10),"")&amp;IF(K201&gt;0,"Pepas Membrillo: "&amp;K201&amp;" band. x $"&amp;TEXT($V201,"#,##0")&amp;" = $"&amp;TEXT(K201*$V201,"#,##0")&amp;CHAR(10),"")&amp;IF(L201&gt;0,"Pepas Arándano: "&amp;L201&amp;" band. x $"&amp;TEXT($V201,"#,##0")&amp;" = $"&amp;TEXT(L201*$V201,"#,##0")&amp;CHAR(10),"")&amp;IF(M201&gt;0,"Pepas Batata: "&amp;M201&amp;" band. x $"&amp;TEXT($V201,"#,##0")&amp;" = $"&amp;TEXT(M201*$V201,"#,##0")&amp;CHAR(10),"")&amp;IF(N201&gt;0,"Pepas Frutos del Bosque: "&amp;N201&amp;" band. x $"&amp;TEXT($V201,"#,##0")&amp;" = $"&amp;TEXT(N201*$V201,"#,##0")&amp;CHAR(10),"")&amp;"................................."&amp;CHAR(10)&amp;"*TOTAL: $"&amp;TEXT(P201,"#,##0")&amp;"*"&amp;CHAR(10)&amp;CHAR(10)&amp;"¡Gracias por tu pedido! 🙏")</f>
        <v/>
      </c>
      <c r="T201" s="78">
        <f>IF(C201="",Config!$B$5,IF(C201&gt;=Config!$B$2,Config!$C$5,Config!$B$5))</f>
        <v/>
      </c>
      <c r="U201" s="78">
        <f>IF(C201="",Config!$B$8,IF(C201&gt;=Config!$B$2,Config!$C$8,Config!$B$8))</f>
        <v/>
      </c>
      <c r="V201" s="78">
        <f>IF(C201="",Config!$B$9,IF(C201&gt;=Config!$B$2,Config!$C$9,Config!$B$9))</f>
        <v/>
      </c>
    </row>
    <row r="202" ht="60" customHeight="1" s="55">
      <c r="A202" s="72">
        <f>IF(D202="","",ROW()-4)</f>
        <v/>
      </c>
      <c r="B202" s="73" t="n"/>
      <c r="C202" s="73" t="n"/>
      <c r="D202" s="74" t="n"/>
      <c r="E202" s="74" t="n"/>
      <c r="F202" s="75" t="n"/>
      <c r="G202" s="75" t="n"/>
      <c r="H202" s="75" t="n"/>
      <c r="I202" s="75" t="n"/>
      <c r="J202" s="75" t="n"/>
      <c r="K202" s="75" t="n"/>
      <c r="L202" s="75" t="n"/>
      <c r="M202" s="75" t="n"/>
      <c r="N202" s="75" t="n"/>
      <c r="O202" s="72">
        <f>IF(D202="","",SUM(F202:N202))</f>
        <v/>
      </c>
      <c r="P202" s="76">
        <f>IF(D202="","",(F202+G202+H202)*T202+I202*U202+(J202+K202+L202+M202+N202)*V202)</f>
        <v/>
      </c>
      <c r="Q202" s="74" t="n"/>
      <c r="R202" s="77">
        <f>IF(OR(D202="",O202=0),"","🥮 *NUESTRO ALFAJOR*"&amp;CHAR(10)&amp;"Remito N° "&amp;A202&amp;CHAR(10)&amp;"Fecha entrega: "&amp;TEXT(C202,"DD/MM/YYYY")&amp;CHAR(10)&amp;"Cliente: "&amp;D202&amp;IF(E202&lt;&gt;"",", "&amp;E202,"")&amp;CHAR(10)&amp;"................................."&amp;CHAR(10)&amp;IF(F202&gt;0,"Alfajor Maicena x7: "&amp;F202&amp;" pack. x $"&amp;TEXT($T202,"#,##0")&amp;" = $"&amp;TEXT(F202*$T202,"#,##0")&amp;CHAR(10),"")&amp;IF(G202&gt;0,"Alfajor Frutal x7: "&amp;G202&amp;" pack. x $"&amp;TEXT($T202,"#,##0")&amp;" = $"&amp;TEXT(G202*$T202,"#,##0")&amp;CHAR(10),"")&amp;IF(H202&gt;0,"Alfajor Santafesino x7: "&amp;H202&amp;" pack. x $"&amp;TEXT($T202,"#,##0")&amp;" = $"&amp;TEXT(H202*$T202,"#,##0")&amp;CHAR(10),"")&amp;IF(I202&gt;0,"Alfajor Maicena x14: "&amp;I202&amp;" pack. x $"&amp;TEXT($U202,"#,##0")&amp;" = $"&amp;TEXT(I202*$U202,"#,##0")&amp;CHAR(10),"")&amp;IF(J202&gt;0,"Pepas DDL: "&amp;J202&amp;" band. x $"&amp;TEXT($V202,"#,##0")&amp;" = $"&amp;TEXT(J202*$V202,"#,##0")&amp;CHAR(10),"")&amp;IF(K202&gt;0,"Pepas Membrillo: "&amp;K202&amp;" band. x $"&amp;TEXT($V202,"#,##0")&amp;" = $"&amp;TEXT(K202*$V202,"#,##0")&amp;CHAR(10),"")&amp;IF(L202&gt;0,"Pepas Arándano: "&amp;L202&amp;" band. x $"&amp;TEXT($V202,"#,##0")&amp;" = $"&amp;TEXT(L202*$V202,"#,##0")&amp;CHAR(10),"")&amp;IF(M202&gt;0,"Pepas Batata: "&amp;M202&amp;" band. x $"&amp;TEXT($V202,"#,##0")&amp;" = $"&amp;TEXT(M202*$V202,"#,##0")&amp;CHAR(10),"")&amp;IF(N202&gt;0,"Pepas Frutos del Bosque: "&amp;N202&amp;" band. x $"&amp;TEXT($V202,"#,##0")&amp;" = $"&amp;TEXT(N202*$V202,"#,##0")&amp;CHAR(10),"")&amp;"................................."&amp;CHAR(10)&amp;"*TOTAL: $"&amp;TEXT(P202,"#,##0")&amp;"*"&amp;CHAR(10)&amp;CHAR(10)&amp;"¡Gracias por tu pedido! 🙏")</f>
        <v/>
      </c>
      <c r="T202" s="78">
        <f>IF(C202="",Config!$B$5,IF(C202&gt;=Config!$B$2,Config!$C$5,Config!$B$5))</f>
        <v/>
      </c>
      <c r="U202" s="78">
        <f>IF(C202="",Config!$B$8,IF(C202&gt;=Config!$B$2,Config!$C$8,Config!$B$8))</f>
        <v/>
      </c>
      <c r="V202" s="78">
        <f>IF(C202="",Config!$B$9,IF(C202&gt;=Config!$B$2,Config!$C$9,Config!$B$9))</f>
        <v/>
      </c>
    </row>
    <row r="203" ht="60" customHeight="1" s="55">
      <c r="A203" s="72">
        <f>IF(D203="","",ROW()-4)</f>
        <v/>
      </c>
      <c r="B203" s="73" t="n"/>
      <c r="C203" s="73" t="n"/>
      <c r="D203" s="74" t="n"/>
      <c r="E203" s="74" t="n"/>
      <c r="F203" s="75" t="n"/>
      <c r="G203" s="75" t="n"/>
      <c r="H203" s="75" t="n"/>
      <c r="I203" s="75" t="n"/>
      <c r="J203" s="75" t="n"/>
      <c r="K203" s="75" t="n"/>
      <c r="L203" s="75" t="n"/>
      <c r="M203" s="75" t="n"/>
      <c r="N203" s="75" t="n"/>
      <c r="O203" s="72">
        <f>IF(D203="","",SUM(F203:N203))</f>
        <v/>
      </c>
      <c r="P203" s="76">
        <f>IF(D203="","",(F203+G203+H203)*T203+I203*U203+(J203+K203+L203+M203+N203)*V203)</f>
        <v/>
      </c>
      <c r="Q203" s="74" t="n"/>
      <c r="R203" s="77">
        <f>IF(OR(D203="",O203=0),"","🥮 *NUESTRO ALFAJOR*"&amp;CHAR(10)&amp;"Remito N° "&amp;A203&amp;CHAR(10)&amp;"Fecha entrega: "&amp;TEXT(C203,"DD/MM/YYYY")&amp;CHAR(10)&amp;"Cliente: "&amp;D203&amp;IF(E203&lt;&gt;"",", "&amp;E203,"")&amp;CHAR(10)&amp;"................................."&amp;CHAR(10)&amp;IF(F203&gt;0,"Alfajor Maicena x7: "&amp;F203&amp;" pack. x $"&amp;TEXT($T203,"#,##0")&amp;" = $"&amp;TEXT(F203*$T203,"#,##0")&amp;CHAR(10),"")&amp;IF(G203&gt;0,"Alfajor Frutal x7: "&amp;G203&amp;" pack. x $"&amp;TEXT($T203,"#,##0")&amp;" = $"&amp;TEXT(G203*$T203,"#,##0")&amp;CHAR(10),"")&amp;IF(H203&gt;0,"Alfajor Santafesino x7: "&amp;H203&amp;" pack. x $"&amp;TEXT($T203,"#,##0")&amp;" = $"&amp;TEXT(H203*$T203,"#,##0")&amp;CHAR(10),"")&amp;IF(I203&gt;0,"Alfajor Maicena x14: "&amp;I203&amp;" pack. x $"&amp;TEXT($U203,"#,##0")&amp;" = $"&amp;TEXT(I203*$U203,"#,##0")&amp;CHAR(10),"")&amp;IF(J203&gt;0,"Pepas DDL: "&amp;J203&amp;" band. x $"&amp;TEXT($V203,"#,##0")&amp;" = $"&amp;TEXT(J203*$V203,"#,##0")&amp;CHAR(10),"")&amp;IF(K203&gt;0,"Pepas Membrillo: "&amp;K203&amp;" band. x $"&amp;TEXT($V203,"#,##0")&amp;" = $"&amp;TEXT(K203*$V203,"#,##0")&amp;CHAR(10),"")&amp;IF(L203&gt;0,"Pepas Arándano: "&amp;L203&amp;" band. x $"&amp;TEXT($V203,"#,##0")&amp;" = $"&amp;TEXT(L203*$V203,"#,##0")&amp;CHAR(10),"")&amp;IF(M203&gt;0,"Pepas Batata: "&amp;M203&amp;" band. x $"&amp;TEXT($V203,"#,##0")&amp;" = $"&amp;TEXT(M203*$V203,"#,##0")&amp;CHAR(10),"")&amp;IF(N203&gt;0,"Pepas Frutos del Bosque: "&amp;N203&amp;" band. x $"&amp;TEXT($V203,"#,##0")&amp;" = $"&amp;TEXT(N203*$V203,"#,##0")&amp;CHAR(10),"")&amp;"................................."&amp;CHAR(10)&amp;"*TOTAL: $"&amp;TEXT(P203,"#,##0")&amp;"*"&amp;CHAR(10)&amp;CHAR(10)&amp;"¡Gracias por tu pedido! 🙏")</f>
        <v/>
      </c>
      <c r="T203" s="78">
        <f>IF(C203="",Config!$B$5,IF(C203&gt;=Config!$B$2,Config!$C$5,Config!$B$5))</f>
        <v/>
      </c>
      <c r="U203" s="78">
        <f>IF(C203="",Config!$B$8,IF(C203&gt;=Config!$B$2,Config!$C$8,Config!$B$8))</f>
        <v/>
      </c>
      <c r="V203" s="78">
        <f>IF(C203="",Config!$B$9,IF(C203&gt;=Config!$B$2,Config!$C$9,Config!$B$9))</f>
        <v/>
      </c>
    </row>
    <row r="204" ht="60" customHeight="1" s="55">
      <c r="A204" s="72">
        <f>IF(D204="","",ROW()-4)</f>
        <v/>
      </c>
      <c r="B204" s="73" t="n"/>
      <c r="C204" s="73" t="n"/>
      <c r="D204" s="74" t="n"/>
      <c r="E204" s="74" t="n"/>
      <c r="F204" s="75" t="n"/>
      <c r="G204" s="75" t="n"/>
      <c r="H204" s="75" t="n"/>
      <c r="I204" s="75" t="n"/>
      <c r="J204" s="75" t="n"/>
      <c r="K204" s="75" t="n"/>
      <c r="L204" s="75" t="n"/>
      <c r="M204" s="75" t="n"/>
      <c r="N204" s="75" t="n"/>
      <c r="O204" s="72">
        <f>IF(D204="","",SUM(F204:N204))</f>
        <v/>
      </c>
      <c r="P204" s="76">
        <f>IF(D204="","",(F204+G204+H204)*T204+I204*U204+(J204+K204+L204+M204+N204)*V204)</f>
        <v/>
      </c>
      <c r="Q204" s="74" t="n"/>
      <c r="R204" s="77">
        <f>IF(OR(D204="",O204=0),"","🥮 *NUESTRO ALFAJOR*"&amp;CHAR(10)&amp;"Remito N° "&amp;A204&amp;CHAR(10)&amp;"Fecha entrega: "&amp;TEXT(C204,"DD/MM/YYYY")&amp;CHAR(10)&amp;"Cliente: "&amp;D204&amp;IF(E204&lt;&gt;"",", "&amp;E204,"")&amp;CHAR(10)&amp;"................................."&amp;CHAR(10)&amp;IF(F204&gt;0,"Alfajor Maicena x7: "&amp;F204&amp;" pack. x $"&amp;TEXT($T204,"#,##0")&amp;" = $"&amp;TEXT(F204*$T204,"#,##0")&amp;CHAR(10),"")&amp;IF(G204&gt;0,"Alfajor Frutal x7: "&amp;G204&amp;" pack. x $"&amp;TEXT($T204,"#,##0")&amp;" = $"&amp;TEXT(G204*$T204,"#,##0")&amp;CHAR(10),"")&amp;IF(H204&gt;0,"Alfajor Santafesino x7: "&amp;H204&amp;" pack. x $"&amp;TEXT($T204,"#,##0")&amp;" = $"&amp;TEXT(H204*$T204,"#,##0")&amp;CHAR(10),"")&amp;IF(I204&gt;0,"Alfajor Maicena x14: "&amp;I204&amp;" pack. x $"&amp;TEXT($U204,"#,##0")&amp;" = $"&amp;TEXT(I204*$U204,"#,##0")&amp;CHAR(10),"")&amp;IF(J204&gt;0,"Pepas DDL: "&amp;J204&amp;" band. x $"&amp;TEXT($V204,"#,##0")&amp;" = $"&amp;TEXT(J204*$V204,"#,##0")&amp;CHAR(10),"")&amp;IF(K204&gt;0,"Pepas Membrillo: "&amp;K204&amp;" band. x $"&amp;TEXT($V204,"#,##0")&amp;" = $"&amp;TEXT(K204*$V204,"#,##0")&amp;CHAR(10),"")&amp;IF(L204&gt;0,"Pepas Arándano: "&amp;L204&amp;" band. x $"&amp;TEXT($V204,"#,##0")&amp;" = $"&amp;TEXT(L204*$V204,"#,##0")&amp;CHAR(10),"")&amp;IF(M204&gt;0,"Pepas Batata: "&amp;M204&amp;" band. x $"&amp;TEXT($V204,"#,##0")&amp;" = $"&amp;TEXT(M204*$V204,"#,##0")&amp;CHAR(10),"")&amp;IF(N204&gt;0,"Pepas Frutos del Bosque: "&amp;N204&amp;" band. x $"&amp;TEXT($V204,"#,##0")&amp;" = $"&amp;TEXT(N204*$V204,"#,##0")&amp;CHAR(10),"")&amp;"................................."&amp;CHAR(10)&amp;"*TOTAL: $"&amp;TEXT(P204,"#,##0")&amp;"*"&amp;CHAR(10)&amp;CHAR(10)&amp;"¡Gracias por tu pedido! 🙏")</f>
        <v/>
      </c>
      <c r="T204" s="78">
        <f>IF(C204="",Config!$B$5,IF(C204&gt;=Config!$B$2,Config!$C$5,Config!$B$5))</f>
        <v/>
      </c>
      <c r="U204" s="78">
        <f>IF(C204="",Config!$B$8,IF(C204&gt;=Config!$B$2,Config!$C$8,Config!$B$8))</f>
        <v/>
      </c>
      <c r="V204" s="78">
        <f>IF(C204="",Config!$B$9,IF(C204&gt;=Config!$B$2,Config!$C$9,Config!$B$9))</f>
        <v/>
      </c>
    </row>
  </sheetData>
  <mergeCells count="2">
    <mergeCell ref="A2:R2"/>
    <mergeCell ref="A1:R1"/>
  </mergeCells>
  <conditionalFormatting sqref="Q5:Q204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"Remito Enviado"</formula>
    </cfRule>
    <cfRule type="cellIs" rank="0" priority="4" equalAverage="0" operator="equal" aboveAverage="0" dxfId="2" text="" percent="0" bottom="0">
      <formula>"Entregado"</formula>
    </cfRule>
  </conditionalFormatting>
  <dataValidations count="2">
    <dataValidation sqref="Q5:Q204" showDropDown="0" showInputMessage="0" showErrorMessage="0" allowBlank="1" type="list" errorStyle="stop" operator="between">
      <formula1>"Pendiente,Remito Enviado,Entregado"</formula1>
      <formula2>0</formula2>
    </dataValidation>
    <dataValidation sqref="D5:D204" showDropDown="0" showInputMessage="0" showErrorMessage="0" allowBlank="1" type="list" errorStyle="stop" operator="between">
      <formula1>Config!$E$14:$E$265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4" min="1" max="1"/>
    <col width="9" customWidth="1" style="54" min="2" max="2"/>
    <col width="15" customWidth="1" style="54" min="3" max="4"/>
    <col width="13" customWidth="1" style="54" min="5" max="5"/>
    <col width="11" customWidth="1" style="54" min="6" max="6"/>
    <col width="15" customWidth="1" style="54" min="7" max="7"/>
    <col width="26" customWidth="1" style="54" min="8" max="8"/>
  </cols>
  <sheetData>
    <row r="1" ht="24" customHeight="1" s="55">
      <c r="A1" s="56" t="inlineStr">
        <is>
          <t>AMASIJO Y HORNEADO — Producción del día</t>
        </is>
      </c>
    </row>
    <row r="2" ht="18" customHeight="1" s="55">
      <c r="A2" s="59" t="inlineStr">
        <is>
          <t>Se calcula solo según los pedidos de la fecha elegida en la hoja Panel. Solo cantidades físicas — sin precios.</t>
        </is>
      </c>
    </row>
    <row r="4" ht="15" customHeight="1" s="55">
      <c r="A4" s="79" t="inlineStr">
        <is>
          <t>Fecha de entrega a producir:</t>
        </is>
      </c>
      <c r="B4" s="80">
        <f>Panel!$D$4</f>
        <v/>
      </c>
    </row>
    <row r="6" ht="15" customHeight="1" s="55">
      <c r="A6" s="79" t="inlineStr">
        <is>
          <t>RENDIMIENTOS DE REFERENCIA (fijos, confirmados en campo 25/6/2026)</t>
        </is>
      </c>
    </row>
    <row r="7" ht="15" customHeight="1" s="55">
      <c r="A7" s="81" t="inlineStr">
        <is>
          <t>Alfajores por amasijo Masa Maicena/Frutal (1.508 tapas ÷ 2)</t>
        </is>
      </c>
      <c r="F7" s="82" t="n">
        <v>754</v>
      </c>
      <c r="G7" s="83" t="inlineStr">
        <is>
          <t>alfajores</t>
        </is>
      </c>
    </row>
    <row r="8" ht="15" customHeight="1" s="55">
      <c r="A8" s="81" t="inlineStr">
        <is>
          <t>Pepas por amasijo Masa Pepas</t>
        </is>
      </c>
      <c r="F8" s="82" t="n">
        <v>1508</v>
      </c>
      <c r="G8" s="83" t="inlineStr">
        <is>
          <t>pepas</t>
        </is>
      </c>
    </row>
    <row r="9" ht="15" customHeight="1" s="55">
      <c r="A9" s="81" t="inlineStr">
        <is>
          <t>Tapas malteadas Santafesino por kg (Don Jesús)</t>
        </is>
      </c>
      <c r="F9" s="82" t="n">
        <v>80</v>
      </c>
      <c r="G9" s="83" t="inlineStr">
        <is>
          <t>tapas/kg</t>
        </is>
      </c>
    </row>
    <row r="10" ht="15" customHeight="1" s="55">
      <c r="A10" s="81" t="inlineStr">
        <is>
          <t>Tapas por alfajor Santafesino</t>
        </is>
      </c>
      <c r="F10" s="82" t="n">
        <v>3</v>
      </c>
      <c r="G10" s="83" t="inlineStr">
        <is>
          <t>tapas</t>
        </is>
      </c>
    </row>
    <row r="11" ht="15" customHeight="1" s="55">
      <c r="A11" s="81" t="inlineStr">
        <is>
          <t>Horneadas por garrafa de 45kg</t>
        </is>
      </c>
      <c r="F11" s="82" t="n">
        <v>45</v>
      </c>
      <c r="G11" s="83" t="inlineStr">
        <is>
          <t>horneadas</t>
        </is>
      </c>
    </row>
    <row r="12" ht="15" customHeight="1" s="55">
      <c r="A12" s="81" t="inlineStr">
        <is>
          <t>Horneadas por amasijo</t>
        </is>
      </c>
      <c r="F12" s="82" t="n">
        <v>2</v>
      </c>
      <c r="G12" s="83" t="inlineStr">
        <is>
          <t>horneadas</t>
        </is>
      </c>
    </row>
    <row r="14" ht="15" customHeight="1" s="55">
      <c r="A14" s="79" t="inlineStr">
        <is>
          <t>NECESIDAD DE PRODUCCIÓN PARA LA FECHA ELEGIDA</t>
        </is>
      </c>
    </row>
    <row r="15" ht="15" customHeight="1" s="55">
      <c r="A15" s="64" t="inlineStr">
        <is>
          <t>Concepto</t>
        </is>
      </c>
      <c r="B15" s="64" t="inlineStr">
        <is>
          <t>Cálculo</t>
        </is>
      </c>
      <c r="C15" s="64" t="inlineStr">
        <is>
          <t>Resultado</t>
        </is>
      </c>
      <c r="D15" s="64" t="inlineStr">
        <is>
          <t>Unidad</t>
        </is>
      </c>
    </row>
    <row r="16" ht="15" customHeight="1" s="55">
      <c r="A16" s="84" t="inlineStr">
        <is>
          <t>Alfajores masa Maicena/Frutal necesarios</t>
        </is>
      </c>
      <c r="B16" s="85" t="inlineStr">
        <is>
          <t>(Maicena x7×7)+(Frutal x7×7)+(Maicena x14×14)</t>
        </is>
      </c>
      <c r="C16" s="84">
        <f>(Panel!$B$8*7)+(Panel!$B$9*7)+(Panel!$B$11*14)</f>
        <v/>
      </c>
      <c r="D16" s="84" t="inlineStr">
        <is>
          <t>alfajores</t>
        </is>
      </c>
    </row>
    <row r="17" ht="15" customHeight="1" s="55">
      <c r="A17" s="86" t="inlineStr">
        <is>
          <t>→ AMASIJOS Masa Maicena/Frutal a hacer</t>
        </is>
      </c>
      <c r="B17" s="87" t="n"/>
      <c r="C17" s="86">
        <f>ROUNDUP(C16/F7,0)</f>
        <v/>
      </c>
      <c r="D17" s="84" t="inlineStr">
        <is>
          <t>amasijos</t>
        </is>
      </c>
    </row>
    <row r="18" ht="15" customHeight="1" s="55">
      <c r="A18" s="84" t="inlineStr">
        <is>
          <t>Pepas totales necesarias (todas las variedades)</t>
        </is>
      </c>
      <c r="B18" s="85" t="inlineStr">
        <is>
          <t>Suma pedidos Pepas × 18 (unid./bandeja)</t>
        </is>
      </c>
      <c r="C18" s="84">
        <f>(Panel!$B$12+Panel!$B$13+Panel!$B$14+Panel!$B$15+Panel!$B$16)*18</f>
        <v/>
      </c>
      <c r="D18" s="84" t="inlineStr">
        <is>
          <t>pepas</t>
        </is>
      </c>
    </row>
    <row r="19" ht="15" customHeight="1" s="55">
      <c r="A19" s="86" t="inlineStr">
        <is>
          <t>→ AMASIJOS Masa Pepas a hacer</t>
        </is>
      </c>
      <c r="B19" s="87" t="n"/>
      <c r="C19" s="86">
        <f>ROUNDUP(C18/F8,0)</f>
        <v/>
      </c>
      <c r="D19" s="84" t="inlineStr">
        <is>
          <t>amasijos</t>
        </is>
      </c>
    </row>
    <row r="20" ht="15" customHeight="1" s="55">
      <c r="A20" s="107" t="inlineStr">
        <is>
          <t>TOTAL AMASIJOS DEL DÍA (Masa M/F + Masa Pepas)</t>
        </is>
      </c>
      <c r="B20" s="108" t="n"/>
      <c r="C20" s="107">
        <f>C17+C19</f>
        <v/>
      </c>
      <c r="D20" s="109" t="inlineStr">
        <is>
          <t>amasijos</t>
        </is>
      </c>
    </row>
    <row r="21" ht="30" customHeight="1" s="55">
      <c r="A21" s="110">
        <f>IF(C20&gt;3,"⚠ SUPERA LA JORNADA NORMAL (3 amasijos/día) — evaluar turno extra, adelantar producción a "&amp;(C20-3)&amp;" amasijo(s) del día anterior, o reforzar con más personal.","✓ Dentro de la jornada normal (hasta 3 amasijos).")</f>
        <v/>
      </c>
    </row>
    <row r="22" ht="15" customHeight="1" s="55">
      <c r="A22" s="84" t="inlineStr">
        <is>
          <t>Alfajores Santafesino necesarios</t>
        </is>
      </c>
      <c r="B22" s="87" t="n"/>
      <c r="C22" s="84">
        <f>Panel!$B$10*7</f>
        <v/>
      </c>
      <c r="D22" s="84" t="inlineStr">
        <is>
          <t>alfajores</t>
        </is>
      </c>
    </row>
    <row r="23" ht="15" customHeight="1" s="55">
      <c r="A23" s="84" t="inlineStr">
        <is>
          <t>Tapas malteadas a comprar a Don Jesús</t>
        </is>
      </c>
      <c r="B23" s="87" t="n"/>
      <c r="C23" s="84">
        <f>C20*F10</f>
        <v/>
      </c>
      <c r="D23" s="84" t="inlineStr">
        <is>
          <t>tapas</t>
        </is>
      </c>
    </row>
    <row r="24" ht="15" customHeight="1" s="55">
      <c r="A24" s="86" t="inlineStr">
        <is>
          <t>→ KG a pedirle a Don Jesús</t>
        </is>
      </c>
      <c r="B24" s="87" t="n"/>
      <c r="C24" s="86">
        <f>ROUNDUP(C21/F9,1)</f>
        <v/>
      </c>
      <c r="D24" s="84" t="inlineStr">
        <is>
          <t>kg</t>
        </is>
      </c>
    </row>
    <row r="25">
      <c r="A25" s="84" t="inlineStr">
        <is>
          <t>Horneadas totales (amasijos M/F + Pepas) × 2</t>
        </is>
      </c>
      <c r="B25" s="87" t="n"/>
      <c r="C25" s="84">
        <f>(C17+C19)*F12</f>
        <v/>
      </c>
      <c r="D25" s="84" t="inlineStr">
        <is>
          <t>horneadas</t>
        </is>
      </c>
    </row>
    <row r="26" ht="15" customHeight="1" s="55">
      <c r="A26" s="86" t="inlineStr">
        <is>
          <t>→ GARRAFAS necesarias</t>
        </is>
      </c>
      <c r="B26" s="95" t="n"/>
      <c r="C26" s="95" t="n"/>
      <c r="D26" s="95" t="n"/>
      <c r="E26" s="95" t="n"/>
      <c r="F26" s="95" t="n"/>
      <c r="G26" s="95" t="n"/>
      <c r="H26" s="96" t="n"/>
    </row>
    <row r="27" ht="27.75" customHeight="1" s="55"/>
    <row r="28" ht="15" customHeight="1" s="55">
      <c r="A28" s="79" t="inlineStr">
        <is>
          <t>INSUMOS DE MASA — necesario vs. stock vs. a comprar</t>
        </is>
      </c>
    </row>
    <row r="29" ht="15" customHeight="1" s="55">
      <c r="A29" s="70" t="inlineStr">
        <is>
          <t>Insumo</t>
        </is>
      </c>
      <c r="B29" s="70" t="inlineStr">
        <is>
          <t>Unidad</t>
        </is>
      </c>
      <c r="C29" s="70" t="inlineStr">
        <is>
          <t>Cant./amasijo M-F</t>
        </is>
      </c>
      <c r="D29" s="70" t="inlineStr">
        <is>
          <t>Cant./amasijo Pepas</t>
        </is>
      </c>
      <c r="E29" s="70" t="inlineStr">
        <is>
          <t>Necesario Total</t>
        </is>
      </c>
      <c r="F29" s="70" t="inlineStr">
        <is>
          <t>Stock actual</t>
        </is>
      </c>
      <c r="G29" s="70" t="inlineStr">
        <is>
          <t>Faltante (comprar)</t>
        </is>
      </c>
      <c r="H29" s="70" t="inlineStr">
        <is>
          <t>Fuente/Proveedor</t>
        </is>
      </c>
    </row>
    <row r="30" ht="15" customHeight="1" s="55">
      <c r="A30" s="84" t="inlineStr">
        <is>
          <t>Huevo</t>
        </is>
      </c>
      <c r="B30" s="88" t="inlineStr">
        <is>
          <t>u</t>
        </is>
      </c>
      <c r="C30" s="88" t="n">
        <v>40</v>
      </c>
      <c r="D30" s="88" t="n">
        <v>40</v>
      </c>
      <c r="E30" s="88">
        <f>(C30*$C$17)+(D30*$C$19)</f>
        <v/>
      </c>
      <c r="F30" s="126">
        <f>Stock!$F$5</f>
        <v/>
      </c>
      <c r="G30" s="90">
        <f>MAX(E30-F30,0)</f>
        <v/>
      </c>
      <c r="H30" s="85" t="inlineStr">
        <is>
          <t>Huvero</t>
        </is>
      </c>
    </row>
    <row r="31" ht="15" customHeight="1" s="55">
      <c r="A31" s="84" t="inlineStr">
        <is>
          <t>Vainilla</t>
        </is>
      </c>
      <c r="B31" s="88" t="inlineStr">
        <is>
          <t>ml</t>
        </is>
      </c>
      <c r="C31" s="88" t="n">
        <v>100</v>
      </c>
      <c r="D31" s="88" t="n">
        <v>0</v>
      </c>
      <c r="E31" s="88">
        <f>(C31*$C$17)+(D31*$C$19)</f>
        <v/>
      </c>
      <c r="F31" s="126">
        <f>Stock!$F$6</f>
        <v/>
      </c>
      <c r="G31" s="90">
        <f>MAX(E31-F31,0)</f>
        <v/>
      </c>
      <c r="H31" s="85" t="inlineStr">
        <is>
          <t>Emeth · Insupar</t>
        </is>
      </c>
    </row>
    <row r="32" ht="15" customHeight="1" s="55">
      <c r="A32" s="84" t="inlineStr">
        <is>
          <t>Colorante amarillo</t>
        </is>
      </c>
      <c r="B32" s="88" t="inlineStr">
        <is>
          <t>cm³</t>
        </is>
      </c>
      <c r="C32" s="88" t="n">
        <v>10</v>
      </c>
      <c r="D32" s="88" t="n">
        <v>0</v>
      </c>
      <c r="E32" s="88">
        <f>(C32*$C$17)+(D32*$C$19)</f>
        <v/>
      </c>
      <c r="F32" s="126">
        <f>Stock!$F$7</f>
        <v/>
      </c>
      <c r="G32" s="90">
        <f>MAX(E32-F32,0)</f>
        <v/>
      </c>
      <c r="H32" s="85" t="inlineStr">
        <is>
          <t>Emeth · Insupar</t>
        </is>
      </c>
    </row>
    <row r="33" ht="15" customHeight="1" s="55">
      <c r="A33" s="84" t="inlineStr">
        <is>
          <t>Miel</t>
        </is>
      </c>
      <c r="B33" s="88" t="inlineStr">
        <is>
          <t>cm³</t>
        </is>
      </c>
      <c r="C33" s="88" t="n">
        <v>50</v>
      </c>
      <c r="D33" s="88" t="n">
        <v>0</v>
      </c>
      <c r="E33" s="88">
        <f>(C33*$C$17)+(D33*$C$19)</f>
        <v/>
      </c>
      <c r="F33" s="126">
        <f>Stock!$F$8</f>
        <v/>
      </c>
      <c r="G33" s="90">
        <f>MAX(E33-F33,0)</f>
        <v/>
      </c>
      <c r="H33" s="85" t="inlineStr">
        <is>
          <t>Apicultor local</t>
        </is>
      </c>
    </row>
    <row r="34" ht="15" customHeight="1" s="55">
      <c r="A34" s="84" t="inlineStr">
        <is>
          <t>Sorbato de potasio</t>
        </is>
      </c>
      <c r="B34" s="88" t="inlineStr">
        <is>
          <t>g</t>
        </is>
      </c>
      <c r="C34" s="88" t="n">
        <v>20</v>
      </c>
      <c r="D34" s="88" t="n">
        <v>0</v>
      </c>
      <c r="E34" s="88">
        <f>(C34*$C$17)+(D34*$C$19)</f>
        <v/>
      </c>
      <c r="F34" s="126">
        <f>Stock!$F$9</f>
        <v/>
      </c>
      <c r="G34" s="90">
        <f>MAX(E34-F34,0)</f>
        <v/>
      </c>
      <c r="H34" s="85" t="inlineStr">
        <is>
          <t>CGA · Insupar/ISCO</t>
        </is>
      </c>
    </row>
    <row r="35" ht="15" customHeight="1" s="55">
      <c r="A35" s="84" t="inlineStr">
        <is>
          <t>Propionato de calcio</t>
        </is>
      </c>
      <c r="B35" s="88" t="inlineStr">
        <is>
          <t>g</t>
        </is>
      </c>
      <c r="C35" s="88" t="n">
        <v>60</v>
      </c>
      <c r="D35" s="88" t="n">
        <v>0</v>
      </c>
      <c r="E35" s="88">
        <f>(C35*$C$17)+(D35*$C$19)</f>
        <v/>
      </c>
      <c r="F35" s="126">
        <f>Stock!$F$10</f>
        <v/>
      </c>
      <c r="G35" s="90">
        <f>MAX(E35-F35,0)</f>
        <v/>
      </c>
      <c r="H35" s="85" t="inlineStr">
        <is>
          <t>CGA · Insupar/ISCO</t>
        </is>
      </c>
    </row>
    <row r="36" ht="15" customHeight="1" s="55">
      <c r="A36" s="84" t="inlineStr">
        <is>
          <t>Azúcar</t>
        </is>
      </c>
      <c r="B36" s="88" t="inlineStr">
        <is>
          <t>kg</t>
        </is>
      </c>
      <c r="C36" s="88" t="n">
        <v>4</v>
      </c>
      <c r="D36" s="88" t="n">
        <v>4</v>
      </c>
      <c r="E36" s="88">
        <f>(C36*$C$17)+(D36*$C$19)</f>
        <v/>
      </c>
      <c r="F36" s="126">
        <f>Stock!$F$11</f>
        <v/>
      </c>
      <c r="G36" s="90">
        <f>MAX(E36-F36,0)</f>
        <v/>
      </c>
      <c r="H36" s="85" t="inlineStr">
        <is>
          <t>GAMA</t>
        </is>
      </c>
    </row>
    <row r="37" ht="15" customHeight="1" s="55">
      <c r="A37" s="84" t="inlineStr">
        <is>
          <t>Margarina</t>
        </is>
      </c>
      <c r="B37" s="88" t="inlineStr">
        <is>
          <t>kg</t>
        </is>
      </c>
      <c r="C37" s="88" t="n">
        <v>4</v>
      </c>
      <c r="D37" s="88" t="n">
        <v>4</v>
      </c>
      <c r="E37" s="88">
        <f>(C37*$C$17)+(D37*$C$19)</f>
        <v/>
      </c>
      <c r="F37" s="126">
        <f>Stock!$F$12</f>
        <v/>
      </c>
      <c r="G37" s="90">
        <f>MAX(E37-F37,0)</f>
        <v/>
      </c>
      <c r="H37" s="85" t="inlineStr">
        <is>
          <t>Cordobesa · ISCO Varisco</t>
        </is>
      </c>
    </row>
    <row r="38" ht="15" customHeight="1" s="55">
      <c r="A38" s="84" t="inlineStr">
        <is>
          <t>Maicena (Femag)</t>
        </is>
      </c>
      <c r="B38" s="88" t="inlineStr">
        <is>
          <t>kg</t>
        </is>
      </c>
      <c r="C38" s="88" t="n">
        <v>6</v>
      </c>
      <c r="D38" s="88" t="n">
        <v>0</v>
      </c>
      <c r="E38" s="88">
        <f>(C38*$C$17)+(D38*$C$19)</f>
        <v/>
      </c>
      <c r="F38" s="126">
        <f>Stock!$F$13</f>
        <v/>
      </c>
      <c r="G38" s="90">
        <f>MAX(E38-F38,0)</f>
        <v/>
      </c>
      <c r="H38" s="85" t="inlineStr">
        <is>
          <t>Insupar</t>
        </is>
      </c>
    </row>
    <row r="39" ht="15" customHeight="1" s="55">
      <c r="A39" s="84" t="inlineStr">
        <is>
          <t>Harina 000</t>
        </is>
      </c>
      <c r="B39" s="88" t="inlineStr">
        <is>
          <t>kg</t>
        </is>
      </c>
      <c r="C39" s="88" t="n">
        <v>4</v>
      </c>
      <c r="D39" s="88" t="n">
        <v>10</v>
      </c>
      <c r="E39" s="88">
        <f>(C39*$C$17)+(D39*$C$19)</f>
        <v/>
      </c>
      <c r="F39" s="126">
        <f>Stock!$F$14</f>
        <v/>
      </c>
      <c r="G39" s="90">
        <f>MAX(E39-F39,0)</f>
        <v/>
      </c>
      <c r="H39" s="85" t="inlineStr">
        <is>
          <t>Estrella del Paraná · ISCO Varisco</t>
        </is>
      </c>
    </row>
    <row r="40" ht="15" customHeight="1" s="55">
      <c r="A40" s="84" t="inlineStr">
        <is>
          <t>Polvo de hornear</t>
        </is>
      </c>
      <c r="B40" s="88" t="inlineStr">
        <is>
          <t>g</t>
        </is>
      </c>
      <c r="C40" s="88" t="n">
        <v>65</v>
      </c>
      <c r="D40" s="88" t="n">
        <v>80</v>
      </c>
      <c r="E40" s="88">
        <f>(C40*$C$17)+(D40*$C$19)</f>
        <v/>
      </c>
      <c r="F40" s="126">
        <f>Stock!$F$15</f>
        <v/>
      </c>
      <c r="G40" s="90">
        <f>MAX(E40-F40,0)</f>
        <v/>
      </c>
      <c r="H40" s="85" t="inlineStr">
        <is>
          <t>Prindal · ISCO Varisco</t>
        </is>
      </c>
    </row>
    <row r="41">
      <c r="A41" s="84" t="inlineStr">
        <is>
          <t>Bicarbonato de sodio</t>
        </is>
      </c>
      <c r="B41" s="88" t="inlineStr">
        <is>
          <t>g</t>
        </is>
      </c>
      <c r="C41" s="88" t="n">
        <v>0</v>
      </c>
      <c r="D41" s="88" t="n">
        <v>5</v>
      </c>
      <c r="E41" s="88">
        <f>(C41*$C$17)+(D41*$C$19)</f>
        <v/>
      </c>
      <c r="F41" s="126">
        <f>Stock!$F$16</f>
        <v/>
      </c>
      <c r="G41" s="90">
        <f>MAX(E41-F41,0)</f>
        <v/>
      </c>
      <c r="H41" s="85" t="inlineStr">
        <is>
          <t>—</t>
        </is>
      </c>
    </row>
    <row r="42">
      <c r="A42" s="84" t="inlineStr">
        <is>
          <t>Esencia de manteca</t>
        </is>
      </c>
      <c r="B42" s="88" t="inlineStr">
        <is>
          <t>ml</t>
        </is>
      </c>
      <c r="C42" s="88" t="n">
        <v>0</v>
      </c>
      <c r="D42" s="88" t="n">
        <v>50</v>
      </c>
      <c r="E42" s="88">
        <f>(C42*$C$17)+(D42*$C$19)</f>
        <v/>
      </c>
      <c r="F42" s="126">
        <f>Stock!$F$17</f>
        <v/>
      </c>
      <c r="G42" s="90">
        <f>MAX(E42-F42,0)</f>
        <v/>
      </c>
      <c r="H42" s="8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FFD3"/>
  <mergeCells count="12">
    <mergeCell ref="A14:G14"/>
    <mergeCell ref="A26:H26"/>
    <mergeCell ref="A12:E12"/>
    <mergeCell ref="A1:G1"/>
    <mergeCell ref="A7:E7"/>
    <mergeCell ref="A6:G6"/>
    <mergeCell ref="A10:E10"/>
    <mergeCell ref="A21:G21"/>
    <mergeCell ref="A11:E11"/>
    <mergeCell ref="A2:G2"/>
    <mergeCell ref="A8:E8"/>
    <mergeCell ref="A9:E9"/>
  </mergeCells>
  <conditionalFormatting sqref="C20">
    <cfRule type="cellIs" priority="1" operator="greaterThan" dxfId="3">
      <formula>3</formula>
    </cfRule>
  </conditionalFormatting>
  <conditionalFormatting sqref="A21:G21">
    <cfRule type="cellIs" priority="2" operator="greaterThan" dxfId="4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55" min="1" max="1"/>
    <col width="10" customWidth="1" style="55" min="2" max="2"/>
    <col width="10" customWidth="1" style="55" min="3" max="3"/>
    <col width="10" customWidth="1" style="55" min="4" max="4"/>
    <col width="10" customWidth="1" style="55" min="5" max="5"/>
    <col width="10" customWidth="1" style="55" min="6" max="6"/>
    <col width="10" customWidth="1" style="55" min="7" max="7"/>
    <col width="10" customWidth="1" style="55" min="8" max="8"/>
    <col width="10" customWidth="1" style="55" min="9" max="9"/>
    <col width="10" customWidth="1" style="55" min="10" max="10"/>
    <col width="10" customWidth="1" style="55" min="11" max="11"/>
    <col width="10" customWidth="1" style="55" min="12" max="12"/>
    <col width="10" customWidth="1" style="55" min="13" max="13"/>
    <col width="10" customWidth="1" style="55" min="14" max="14"/>
    <col width="10" customWidth="1" style="55" min="15" max="15"/>
    <col width="10" customWidth="1" style="55" min="16" max="16"/>
    <col width="10" customWidth="1" style="55" min="17" max="17"/>
    <col width="10" customWidth="1" style="55" min="18" max="18"/>
    <col width="10" customWidth="1" style="55" min="19" max="19"/>
    <col width="10" customWidth="1" style="55" min="20" max="20"/>
    <col width="10" customWidth="1" style="55" min="21" max="21"/>
    <col width="10" customWidth="1" style="55" min="22" max="22"/>
    <col width="10" customWidth="1" style="55" min="23" max="23"/>
    <col width="10" customWidth="1" style="55" min="24" max="24"/>
    <col width="10" customWidth="1" style="55" min="25" max="25"/>
    <col width="10" customWidth="1" style="55" min="26" max="26"/>
    <col width="10" customWidth="1" style="55" min="27" max="27"/>
    <col width="10" customWidth="1" style="55" min="28" max="28"/>
    <col width="10" customWidth="1" style="55" min="29" max="29"/>
    <col width="10" customWidth="1" style="55" min="30" max="30"/>
    <col width="10" customWidth="1" style="55" min="31" max="31"/>
    <col width="10" customWidth="1" style="55" min="32" max="32"/>
    <col hidden="1" width="13" customWidth="1" style="55" min="33" max="33"/>
    <col hidden="1" width="13" customWidth="1" style="55" min="34" max="34"/>
    <col hidden="1" width="13" customWidth="1" style="55" min="35" max="35"/>
    <col hidden="1" width="13" customWidth="1" style="55" min="36" max="36"/>
    <col hidden="1" width="13" customWidth="1" style="55" min="37" max="37"/>
    <col hidden="1" width="13" customWidth="1" style="55" min="38" max="38"/>
    <col hidden="1" width="13" customWidth="1" style="55" min="39" max="39"/>
    <col hidden="1" width="13" customWidth="1" style="55" min="40" max="40"/>
    <col hidden="1" width="13" customWidth="1" style="55" min="41" max="41"/>
    <col hidden="1" width="13" customWidth="1" style="55" min="42" max="42"/>
    <col hidden="1" width="13" customWidth="1" style="55" min="43" max="43"/>
    <col hidden="1" width="13" customWidth="1" style="55" min="44" max="44"/>
    <col hidden="1" width="13" customWidth="1" style="55" min="45" max="45"/>
    <col hidden="1" width="13" customWidth="1" style="55" min="46" max="46"/>
    <col hidden="1" width="13" customWidth="1" style="55" min="47" max="47"/>
    <col hidden="1" width="13" customWidth="1" style="55" min="48" max="48"/>
    <col hidden="1" width="13" customWidth="1" style="55" min="49" max="49"/>
    <col hidden="1" width="13" customWidth="1" style="55" min="50" max="50"/>
    <col hidden="1" width="13" customWidth="1" style="55" min="51" max="51"/>
    <col hidden="1" width="13" customWidth="1" style="55" min="52" max="52"/>
    <col hidden="1" width="13" customWidth="1" style="55" min="53" max="53"/>
    <col hidden="1" width="13" customWidth="1" style="55" min="54" max="54"/>
    <col hidden="1" width="13" customWidth="1" style="55" min="55" max="55"/>
    <col hidden="1" width="13" customWidth="1" style="55" min="56" max="56"/>
  </cols>
  <sheetData>
    <row r="1" ht="24" customHeight="1" s="55">
      <c r="A1" s="111" t="inlineStr">
        <is>
          <t>PRODUCCIÓN REAL — Registro diario (lo que pasó de verdad)</t>
        </is>
      </c>
    </row>
    <row r="2" ht="30" customHeight="1" s="55">
      <c r="A2" s="112" t="inlineStr">
        <is>
          <t>Un renglón por día. Con esto se calcula la merma real y se descuenta el stock. Cargalo al cierre del día.</t>
        </is>
      </c>
    </row>
    <row r="4" ht="46" customHeight="1" s="55">
      <c r="A4" s="113" t="inlineStr">
        <is>
          <t>Fecha</t>
        </is>
      </c>
      <c r="B4" s="113" t="inlineStr">
        <is>
          <t>Amasijos
M/F hechos</t>
        </is>
      </c>
      <c r="C4" s="113" t="inlineStr">
        <is>
          <t>Amasijos
Pepas hechos</t>
        </is>
      </c>
      <c r="D4" s="113" t="inlineStr">
        <is>
          <t>Tapas M/F
producidas
(teórico)</t>
        </is>
      </c>
      <c r="E4" s="113" t="inlineStr">
        <is>
          <t>Tapas
asign.
Maicena</t>
        </is>
      </c>
      <c r="F4" s="113" t="inlineStr">
        <is>
          <t>Tapas
asign.
Frutal</t>
        </is>
      </c>
      <c r="G4" s="113" t="inlineStr">
        <is>
          <t>Maicena
armado real</t>
        </is>
      </c>
      <c r="H4" s="113" t="inlineStr">
        <is>
          <t>Frutal
armado real</t>
        </is>
      </c>
      <c r="I4" s="113" t="inlineStr">
        <is>
          <t>Merma
Maicena (u)</t>
        </is>
      </c>
      <c r="J4" s="113" t="inlineStr">
        <is>
          <t>Merma
Maicena %</t>
        </is>
      </c>
      <c r="K4" s="113" t="inlineStr">
        <is>
          <t>Merma
Frutal (u)</t>
        </is>
      </c>
      <c r="L4" s="113" t="inlineStr">
        <is>
          <t>Merma
Frutal %</t>
        </is>
      </c>
      <c r="M4" s="113" t="inlineStr">
        <is>
          <t>Tapas Sant.
compradas</t>
        </is>
      </c>
      <c r="N4" s="113" t="inlineStr">
        <is>
          <t>Santafesino
armado real</t>
        </is>
      </c>
      <c r="O4" s="113" t="inlineStr">
        <is>
          <t>Merma
Santaf. (u)</t>
        </is>
      </c>
      <c r="P4" s="113" t="inlineStr">
        <is>
          <t>Merma
Santaf. %</t>
        </is>
      </c>
      <c r="Q4" s="113" t="inlineStr">
        <is>
          <t>Pepas
horneadas
(teórico)</t>
        </is>
      </c>
      <c r="R4" s="113" t="inlineStr">
        <is>
          <t>Pepas DDL
asign.</t>
        </is>
      </c>
      <c r="S4" s="113" t="inlineStr">
        <is>
          <t>Pepas DDL
armado real</t>
        </is>
      </c>
      <c r="T4" s="113" t="inlineStr">
        <is>
          <t>Merma
DDL %</t>
        </is>
      </c>
      <c r="U4" s="113" t="inlineStr">
        <is>
          <t>Pepas Memb.
asign.</t>
        </is>
      </c>
      <c r="V4" s="113" t="inlineStr">
        <is>
          <t>Pepas Memb.
armado real</t>
        </is>
      </c>
      <c r="W4" s="113" t="inlineStr">
        <is>
          <t>Merma
Memb. %</t>
        </is>
      </c>
      <c r="X4" s="113" t="inlineStr">
        <is>
          <t>Pepas Arán.
asign.</t>
        </is>
      </c>
      <c r="Y4" s="113" t="inlineStr">
        <is>
          <t>Pepas Arán.
armado real</t>
        </is>
      </c>
      <c r="Z4" s="113" t="inlineStr">
        <is>
          <t>Merma
Arán. %</t>
        </is>
      </c>
      <c r="AA4" s="113" t="inlineStr">
        <is>
          <t>Pepas Bat.
asign.</t>
        </is>
      </c>
      <c r="AB4" s="113" t="inlineStr">
        <is>
          <t>Pepas Bat.
armado real</t>
        </is>
      </c>
      <c r="AC4" s="113" t="inlineStr">
        <is>
          <t>Merma
Bat. %</t>
        </is>
      </c>
      <c r="AD4" s="113" t="inlineStr">
        <is>
          <t>Pepas Fr.Bos.
asign.</t>
        </is>
      </c>
      <c r="AE4" s="113" t="inlineStr">
        <is>
          <t>Pepas Fr.Bos.
armado real</t>
        </is>
      </c>
      <c r="AF4" s="113" t="inlineStr">
        <is>
          <t>Merma
Fr.Bos. %</t>
        </is>
      </c>
      <c r="AG4" s="118" t="inlineStr">
        <is>
          <t>[consumo] Huevo</t>
        </is>
      </c>
      <c r="AH4" s="118" t="inlineStr">
        <is>
          <t>[consumo] Vainilla</t>
        </is>
      </c>
      <c r="AI4" s="118" t="inlineStr">
        <is>
          <t>[consumo] Colorante amarillo</t>
        </is>
      </c>
      <c r="AJ4" s="118" t="inlineStr">
        <is>
          <t>[consumo] Miel</t>
        </is>
      </c>
      <c r="AK4" s="118" t="inlineStr">
        <is>
          <t>[consumo] Sorbato de potasio</t>
        </is>
      </c>
      <c r="AL4" s="118" t="inlineStr">
        <is>
          <t>[consumo] Propionato de calcio</t>
        </is>
      </c>
      <c r="AM4" s="118" t="inlineStr">
        <is>
          <t>[consumo] Azúcar</t>
        </is>
      </c>
      <c r="AN4" s="118" t="inlineStr">
        <is>
          <t>[consumo] Margarina</t>
        </is>
      </c>
      <c r="AO4" s="118" t="inlineStr">
        <is>
          <t>[consumo] Maicena (Femag)</t>
        </is>
      </c>
      <c r="AP4" s="118" t="inlineStr">
        <is>
          <t>[consumo] Harina 000</t>
        </is>
      </c>
      <c r="AQ4" s="118" t="inlineStr">
        <is>
          <t>[consumo] Polvo de hornear</t>
        </is>
      </c>
      <c r="AR4" s="118" t="inlineStr">
        <is>
          <t>[consumo] Bicarbonato de sodio</t>
        </is>
      </c>
      <c r="AS4" s="118" t="inlineStr">
        <is>
          <t>[consumo] Esencia de manteca</t>
        </is>
      </c>
      <c r="AT4" s="118" t="inlineStr">
        <is>
          <t>[consumo] Dulce de leche (La Colonias)</t>
        </is>
      </c>
      <c r="AU4" s="118" t="inlineStr">
        <is>
          <t>[consumo] Membrillo</t>
        </is>
      </c>
      <c r="AV4" s="118" t="inlineStr">
        <is>
          <t>[consumo] Coco rallado</t>
        </is>
      </c>
      <c r="AW4" s="118" t="inlineStr">
        <is>
          <t>[consumo] Dulce de batata</t>
        </is>
      </c>
      <c r="AX4" s="118" t="inlineStr">
        <is>
          <t>[consumo] Mermelada de arándano</t>
        </is>
      </c>
      <c r="AY4" s="118" t="inlineStr">
        <is>
          <t>[consumo] Frutos del bosque</t>
        </is>
      </c>
      <c r="AZ4" s="118" t="inlineStr">
        <is>
          <t>[consumo] Azúcar impalpable</t>
        </is>
      </c>
      <c r="BA4" s="118" t="inlineStr">
        <is>
          <t>[consumo] Albúmina</t>
        </is>
      </c>
      <c r="BB4" s="118" t="inlineStr">
        <is>
          <t>[consumo] Glucosa</t>
        </is>
      </c>
      <c r="BC4" s="118" t="inlineStr">
        <is>
          <t>[consumo] Esencia de limón</t>
        </is>
      </c>
      <c r="BD4" s="118" t="inlineStr">
        <is>
          <t>[consumo] Ácido acético</t>
        </is>
      </c>
    </row>
    <row r="5">
      <c r="A5" s="127" t="n"/>
      <c r="B5" s="128" t="n"/>
      <c r="C5" s="128" t="n"/>
      <c r="D5" s="116">
        <f>IF(A5="","",B5*1508)</f>
        <v/>
      </c>
      <c r="E5" s="128" t="n"/>
      <c r="F5" s="128" t="n"/>
      <c r="G5" s="128" t="n"/>
      <c r="H5" s="128" t="n"/>
      <c r="I5" s="116">
        <f>IF(A5="","",MAX((E5/2)-G5,0))</f>
        <v/>
      </c>
      <c r="J5" s="117">
        <f>IF(OR(A5="",E5=0),"",I5/(E5/2))</f>
        <v/>
      </c>
      <c r="K5" s="116">
        <f>IF(A5="","",MAX((F5/2)-H5,0))</f>
        <v/>
      </c>
      <c r="L5" s="117">
        <f>IF(OR(A5="",F5=0),"",K5/(F5/2))</f>
        <v/>
      </c>
      <c r="M5" s="128" t="n"/>
      <c r="N5" s="128" t="n"/>
      <c r="O5" s="116">
        <f>IF(A5="","",MAX((M5/3)-N5,0))</f>
        <v/>
      </c>
      <c r="P5" s="117">
        <f>IF(OR(A5="",M5=0),"",O5/(M5/3))</f>
        <v/>
      </c>
      <c r="Q5" s="116">
        <f>IF(A5="","",C5*1508)</f>
        <v/>
      </c>
      <c r="R5" s="128" t="n"/>
      <c r="S5" s="128" t="n"/>
      <c r="T5" s="117">
        <f>IF(OR(A5="",R5=0),"",MAX(R5-S5,0)/R5)</f>
        <v/>
      </c>
      <c r="U5" s="128" t="n"/>
      <c r="V5" s="128" t="n"/>
      <c r="W5" s="117">
        <f>IF(OR(A5="",U5=0),"",MAX(U5-V5,0)/U5)</f>
        <v/>
      </c>
      <c r="X5" s="128" t="n"/>
      <c r="Y5" s="128" t="n"/>
      <c r="Z5" s="117">
        <f>IF(OR(A5="",X5=0),"",MAX(X5-Y5,0)/X5)</f>
        <v/>
      </c>
      <c r="AA5" s="128" t="n"/>
      <c r="AB5" s="128" t="n"/>
      <c r="AC5" s="117">
        <f>IF(OR(A5="",AA5=0),"",MAX(AA5-AB5,0)/AA5)</f>
        <v/>
      </c>
      <c r="AD5" s="128" t="n"/>
      <c r="AE5" s="128" t="n"/>
      <c r="AF5" s="117">
        <f>IF(OR(A5="",AD5=0),"",MAX(AD5-AE5,0)/AD5)</f>
        <v/>
      </c>
      <c r="AG5" s="54">
        <f>IF(A5="",0,(B5*40)+(C5*40))</f>
        <v/>
      </c>
      <c r="AH5" s="54">
        <f>IF(A5="",0,(B5*100)+(C5*0))</f>
        <v/>
      </c>
      <c r="AI5" s="54">
        <f>IF(A5="",0,(B5*10)+(C5*0))</f>
        <v/>
      </c>
      <c r="AJ5" s="54">
        <f>IF(A5="",0,(B5*50)+(C5*0))</f>
        <v/>
      </c>
      <c r="AK5" s="54">
        <f>IF(A5="",0,(B5*20)+(C5*0))</f>
        <v/>
      </c>
      <c r="AL5" s="54">
        <f>IF(A5="",0,(B5*60)+(C5*0))</f>
        <v/>
      </c>
      <c r="AM5" s="54">
        <f>IF(A5="",0,(B5*4)+(C5*4))</f>
        <v/>
      </c>
      <c r="AN5" s="54">
        <f>IF(A5="",0,(B5*4)+(C5*4))</f>
        <v/>
      </c>
      <c r="AO5" s="54">
        <f>IF(A5="",0,(B5*6)+(C5*0))</f>
        <v/>
      </c>
      <c r="AP5" s="54">
        <f>IF(A5="",0,(B5*4)+(C5*10))</f>
        <v/>
      </c>
      <c r="AQ5" s="54">
        <f>IF(A5="",0,(B5*65)+(C5*80))</f>
        <v/>
      </c>
      <c r="AR5" s="54">
        <f>IF(A5="",0,(B5*0)+(C5*5))</f>
        <v/>
      </c>
      <c r="AS5" s="54">
        <f>IF(A5="",0,(B5*0)+(C5*50))</f>
        <v/>
      </c>
      <c r="AT5" s="54">
        <f>IF(A5="",0,(G5*25.51+N5*30+S5*7.5)/1000)</f>
        <v/>
      </c>
      <c r="AU5" s="54">
        <f>IF(A5="",0,(H5*21.74+V5*7.5)/1000)</f>
        <v/>
      </c>
      <c r="AV5" s="54">
        <f>IF(A5="",0,(G5*0.71)/1000)</f>
        <v/>
      </c>
      <c r="AW5" s="54">
        <f>IF(A5="",0,(AB5*5)/1000)</f>
        <v/>
      </c>
      <c r="AX5" s="54">
        <f>IF(A5="",0,(Y5*7)/1000)</f>
        <v/>
      </c>
      <c r="AY5" s="54">
        <f>IF(A5="",0,(AE5*7)/1000)</f>
        <v/>
      </c>
      <c r="AZ5" s="54">
        <f>IF(A5="",0,ROUNDUP((H5+N5)/115,0)*1.5)</f>
        <v/>
      </c>
      <c r="BA5" s="54">
        <f>IF(A5="",0,ROUNDUP((H5+N5)/115,0)*20)</f>
        <v/>
      </c>
      <c r="BB5" s="54">
        <f>IF(A5="",0,ROUNDUP((H5+N5)/115,0)*80)</f>
        <v/>
      </c>
      <c r="BC5" s="54">
        <f>IF(A5="",0,ROUNDUP((H5+N5)/115,0)*5)</f>
        <v/>
      </c>
      <c r="BD5" s="54">
        <f>IF(A5="",0,ROUNDUP((H5+N5)/115,0)*2.5)</f>
        <v/>
      </c>
    </row>
    <row r="6">
      <c r="A6" s="127" t="n"/>
      <c r="B6" s="128" t="n"/>
      <c r="C6" s="128" t="n"/>
      <c r="D6" s="116">
        <f>IF(A6="","",B6*1508)</f>
        <v/>
      </c>
      <c r="E6" s="128" t="n"/>
      <c r="F6" s="128" t="n"/>
      <c r="G6" s="128" t="n"/>
      <c r="H6" s="128" t="n"/>
      <c r="I6" s="116">
        <f>IF(A6="","",MAX((E6/2)-G6,0))</f>
        <v/>
      </c>
      <c r="J6" s="117">
        <f>IF(OR(A6="",E6=0),"",I6/(E6/2))</f>
        <v/>
      </c>
      <c r="K6" s="116">
        <f>IF(A6="","",MAX((F6/2)-H6,0))</f>
        <v/>
      </c>
      <c r="L6" s="117">
        <f>IF(OR(A6="",F6=0),"",K6/(F6/2))</f>
        <v/>
      </c>
      <c r="M6" s="128" t="n"/>
      <c r="N6" s="128" t="n"/>
      <c r="O6" s="116">
        <f>IF(A6="","",MAX((M6/3)-N6,0))</f>
        <v/>
      </c>
      <c r="P6" s="117">
        <f>IF(OR(A6="",M6=0),"",O6/(M6/3))</f>
        <v/>
      </c>
      <c r="Q6" s="116">
        <f>IF(A6="","",C6*1508)</f>
        <v/>
      </c>
      <c r="R6" s="128" t="n"/>
      <c r="S6" s="128" t="n"/>
      <c r="T6" s="117">
        <f>IF(OR(A6="",R6=0),"",MAX(R6-S6,0)/R6)</f>
        <v/>
      </c>
      <c r="U6" s="128" t="n"/>
      <c r="V6" s="128" t="n"/>
      <c r="W6" s="117">
        <f>IF(OR(A6="",U6=0),"",MAX(U6-V6,0)/U6)</f>
        <v/>
      </c>
      <c r="X6" s="128" t="n"/>
      <c r="Y6" s="128" t="n"/>
      <c r="Z6" s="117">
        <f>IF(OR(A6="",X6=0),"",MAX(X6-Y6,0)/X6)</f>
        <v/>
      </c>
      <c r="AA6" s="128" t="n"/>
      <c r="AB6" s="128" t="n"/>
      <c r="AC6" s="117">
        <f>IF(OR(A6="",AA6=0),"",MAX(AA6-AB6,0)/AA6)</f>
        <v/>
      </c>
      <c r="AD6" s="128" t="n"/>
      <c r="AE6" s="128" t="n"/>
      <c r="AF6" s="117">
        <f>IF(OR(A6="",AD6=0),"",MAX(AD6-AE6,0)/AD6)</f>
        <v/>
      </c>
      <c r="AG6" s="54">
        <f>IF(A6="",0,(B6*40)+(C6*40))</f>
        <v/>
      </c>
      <c r="AH6" s="54">
        <f>IF(A6="",0,(B6*100)+(C6*0))</f>
        <v/>
      </c>
      <c r="AI6" s="54">
        <f>IF(A6="",0,(B6*10)+(C6*0))</f>
        <v/>
      </c>
      <c r="AJ6" s="54">
        <f>IF(A6="",0,(B6*50)+(C6*0))</f>
        <v/>
      </c>
      <c r="AK6" s="54">
        <f>IF(A6="",0,(B6*20)+(C6*0))</f>
        <v/>
      </c>
      <c r="AL6" s="54">
        <f>IF(A6="",0,(B6*60)+(C6*0))</f>
        <v/>
      </c>
      <c r="AM6" s="54">
        <f>IF(A6="",0,(B6*4)+(C6*4))</f>
        <v/>
      </c>
      <c r="AN6" s="54">
        <f>IF(A6="",0,(B6*4)+(C6*4))</f>
        <v/>
      </c>
      <c r="AO6" s="54">
        <f>IF(A6="",0,(B6*6)+(C6*0))</f>
        <v/>
      </c>
      <c r="AP6" s="54">
        <f>IF(A6="",0,(B6*4)+(C6*10))</f>
        <v/>
      </c>
      <c r="AQ6" s="54">
        <f>IF(A6="",0,(B6*65)+(C6*80))</f>
        <v/>
      </c>
      <c r="AR6" s="54">
        <f>IF(A6="",0,(B6*0)+(C6*5))</f>
        <v/>
      </c>
      <c r="AS6" s="54">
        <f>IF(A6="",0,(B6*0)+(C6*50))</f>
        <v/>
      </c>
      <c r="AT6" s="54">
        <f>IF(A6="",0,(G6*25.51+N6*30+S6*7.5)/1000)</f>
        <v/>
      </c>
      <c r="AU6" s="54">
        <f>IF(A6="",0,(H6*21.74+V6*7.5)/1000)</f>
        <v/>
      </c>
      <c r="AV6" s="54">
        <f>IF(A6="",0,(G6*0.71)/1000)</f>
        <v/>
      </c>
      <c r="AW6" s="54">
        <f>IF(A6="",0,(AB6*5)/1000)</f>
        <v/>
      </c>
      <c r="AX6" s="54">
        <f>IF(A6="",0,(Y6*7)/1000)</f>
        <v/>
      </c>
      <c r="AY6" s="54">
        <f>IF(A6="",0,(AE6*7)/1000)</f>
        <v/>
      </c>
      <c r="AZ6" s="54">
        <f>IF(A6="",0,ROUNDUP((H6+N6)/115,0)*1.5)</f>
        <v/>
      </c>
      <c r="BA6" s="54">
        <f>IF(A6="",0,ROUNDUP((H6+N6)/115,0)*20)</f>
        <v/>
      </c>
      <c r="BB6" s="54">
        <f>IF(A6="",0,ROUNDUP((H6+N6)/115,0)*80)</f>
        <v/>
      </c>
      <c r="BC6" s="54">
        <f>IF(A6="",0,ROUNDUP((H6+N6)/115,0)*5)</f>
        <v/>
      </c>
      <c r="BD6" s="54">
        <f>IF(A6="",0,ROUNDUP((H6+N6)/115,0)*2.5)</f>
        <v/>
      </c>
    </row>
    <row r="7">
      <c r="A7" s="127" t="n"/>
      <c r="B7" s="128" t="n"/>
      <c r="C7" s="128" t="n"/>
      <c r="D7" s="116">
        <f>IF(A7="","",B7*1508)</f>
        <v/>
      </c>
      <c r="E7" s="128" t="n"/>
      <c r="F7" s="128" t="n"/>
      <c r="G7" s="128" t="n"/>
      <c r="H7" s="128" t="n"/>
      <c r="I7" s="116">
        <f>IF(A7="","",MAX((E7/2)-G7,0))</f>
        <v/>
      </c>
      <c r="J7" s="117">
        <f>IF(OR(A7="",E7=0),"",I7/(E7/2))</f>
        <v/>
      </c>
      <c r="K7" s="116">
        <f>IF(A7="","",MAX((F7/2)-H7,0))</f>
        <v/>
      </c>
      <c r="L7" s="117">
        <f>IF(OR(A7="",F7=0),"",K7/(F7/2))</f>
        <v/>
      </c>
      <c r="M7" s="128" t="n"/>
      <c r="N7" s="128" t="n"/>
      <c r="O7" s="116">
        <f>IF(A7="","",MAX((M7/3)-N7,0))</f>
        <v/>
      </c>
      <c r="P7" s="117">
        <f>IF(OR(A7="",M7=0),"",O7/(M7/3))</f>
        <v/>
      </c>
      <c r="Q7" s="116">
        <f>IF(A7="","",C7*1508)</f>
        <v/>
      </c>
      <c r="R7" s="128" t="n"/>
      <c r="S7" s="128" t="n"/>
      <c r="T7" s="117">
        <f>IF(OR(A7="",R7=0),"",MAX(R7-S7,0)/R7)</f>
        <v/>
      </c>
      <c r="U7" s="128" t="n"/>
      <c r="V7" s="128" t="n"/>
      <c r="W7" s="117">
        <f>IF(OR(A7="",U7=0),"",MAX(U7-V7,0)/U7)</f>
        <v/>
      </c>
      <c r="X7" s="128" t="n"/>
      <c r="Y7" s="128" t="n"/>
      <c r="Z7" s="117">
        <f>IF(OR(A7="",X7=0),"",MAX(X7-Y7,0)/X7)</f>
        <v/>
      </c>
      <c r="AA7" s="128" t="n"/>
      <c r="AB7" s="128" t="n"/>
      <c r="AC7" s="117">
        <f>IF(OR(A7="",AA7=0),"",MAX(AA7-AB7,0)/AA7)</f>
        <v/>
      </c>
      <c r="AD7" s="128" t="n"/>
      <c r="AE7" s="128" t="n"/>
      <c r="AF7" s="117">
        <f>IF(OR(A7="",AD7=0),"",MAX(AD7-AE7,0)/AD7)</f>
        <v/>
      </c>
      <c r="AG7" s="54">
        <f>IF(A7="",0,(B7*40)+(C7*40))</f>
        <v/>
      </c>
      <c r="AH7" s="54">
        <f>IF(A7="",0,(B7*100)+(C7*0))</f>
        <v/>
      </c>
      <c r="AI7" s="54">
        <f>IF(A7="",0,(B7*10)+(C7*0))</f>
        <v/>
      </c>
      <c r="AJ7" s="54">
        <f>IF(A7="",0,(B7*50)+(C7*0))</f>
        <v/>
      </c>
      <c r="AK7" s="54">
        <f>IF(A7="",0,(B7*20)+(C7*0))</f>
        <v/>
      </c>
      <c r="AL7" s="54">
        <f>IF(A7="",0,(B7*60)+(C7*0))</f>
        <v/>
      </c>
      <c r="AM7" s="54">
        <f>IF(A7="",0,(B7*4)+(C7*4))</f>
        <v/>
      </c>
      <c r="AN7" s="54">
        <f>IF(A7="",0,(B7*4)+(C7*4))</f>
        <v/>
      </c>
      <c r="AO7" s="54">
        <f>IF(A7="",0,(B7*6)+(C7*0))</f>
        <v/>
      </c>
      <c r="AP7" s="54">
        <f>IF(A7="",0,(B7*4)+(C7*10))</f>
        <v/>
      </c>
      <c r="AQ7" s="54">
        <f>IF(A7="",0,(B7*65)+(C7*80))</f>
        <v/>
      </c>
      <c r="AR7" s="54">
        <f>IF(A7="",0,(B7*0)+(C7*5))</f>
        <v/>
      </c>
      <c r="AS7" s="54">
        <f>IF(A7="",0,(B7*0)+(C7*50))</f>
        <v/>
      </c>
      <c r="AT7" s="54">
        <f>IF(A7="",0,(G7*25.51+N7*30+S7*7.5)/1000)</f>
        <v/>
      </c>
      <c r="AU7" s="54">
        <f>IF(A7="",0,(H7*21.74+V7*7.5)/1000)</f>
        <v/>
      </c>
      <c r="AV7" s="54">
        <f>IF(A7="",0,(G7*0.71)/1000)</f>
        <v/>
      </c>
      <c r="AW7" s="54">
        <f>IF(A7="",0,(AB7*5)/1000)</f>
        <v/>
      </c>
      <c r="AX7" s="54">
        <f>IF(A7="",0,(Y7*7)/1000)</f>
        <v/>
      </c>
      <c r="AY7" s="54">
        <f>IF(A7="",0,(AE7*7)/1000)</f>
        <v/>
      </c>
      <c r="AZ7" s="54">
        <f>IF(A7="",0,ROUNDUP((H7+N7)/115,0)*1.5)</f>
        <v/>
      </c>
      <c r="BA7" s="54">
        <f>IF(A7="",0,ROUNDUP((H7+N7)/115,0)*20)</f>
        <v/>
      </c>
      <c r="BB7" s="54">
        <f>IF(A7="",0,ROUNDUP((H7+N7)/115,0)*80)</f>
        <v/>
      </c>
      <c r="BC7" s="54">
        <f>IF(A7="",0,ROUNDUP((H7+N7)/115,0)*5)</f>
        <v/>
      </c>
      <c r="BD7" s="54">
        <f>IF(A7="",0,ROUNDUP((H7+N7)/115,0)*2.5)</f>
        <v/>
      </c>
    </row>
    <row r="8">
      <c r="A8" s="127" t="n"/>
      <c r="B8" s="128" t="n"/>
      <c r="C8" s="128" t="n"/>
      <c r="D8" s="116">
        <f>IF(A8="","",B8*1508)</f>
        <v/>
      </c>
      <c r="E8" s="128" t="n"/>
      <c r="F8" s="128" t="n"/>
      <c r="G8" s="128" t="n"/>
      <c r="H8" s="128" t="n"/>
      <c r="I8" s="116">
        <f>IF(A8="","",MAX((E8/2)-G8,0))</f>
        <v/>
      </c>
      <c r="J8" s="117">
        <f>IF(OR(A8="",E8=0),"",I8/(E8/2))</f>
        <v/>
      </c>
      <c r="K8" s="116">
        <f>IF(A8="","",MAX((F8/2)-H8,0))</f>
        <v/>
      </c>
      <c r="L8" s="117">
        <f>IF(OR(A8="",F8=0),"",K8/(F8/2))</f>
        <v/>
      </c>
      <c r="M8" s="128" t="n"/>
      <c r="N8" s="128" t="n"/>
      <c r="O8" s="116">
        <f>IF(A8="","",MAX((M8/3)-N8,0))</f>
        <v/>
      </c>
      <c r="P8" s="117">
        <f>IF(OR(A8="",M8=0),"",O8/(M8/3))</f>
        <v/>
      </c>
      <c r="Q8" s="116">
        <f>IF(A8="","",C8*1508)</f>
        <v/>
      </c>
      <c r="R8" s="128" t="n"/>
      <c r="S8" s="128" t="n"/>
      <c r="T8" s="117">
        <f>IF(OR(A8="",R8=0),"",MAX(R8-S8,0)/R8)</f>
        <v/>
      </c>
      <c r="U8" s="128" t="n"/>
      <c r="V8" s="128" t="n"/>
      <c r="W8" s="117">
        <f>IF(OR(A8="",U8=0),"",MAX(U8-V8,0)/U8)</f>
        <v/>
      </c>
      <c r="X8" s="128" t="n"/>
      <c r="Y8" s="128" t="n"/>
      <c r="Z8" s="117">
        <f>IF(OR(A8="",X8=0),"",MAX(X8-Y8,0)/X8)</f>
        <v/>
      </c>
      <c r="AA8" s="128" t="n"/>
      <c r="AB8" s="128" t="n"/>
      <c r="AC8" s="117">
        <f>IF(OR(A8="",AA8=0),"",MAX(AA8-AB8,0)/AA8)</f>
        <v/>
      </c>
      <c r="AD8" s="128" t="n"/>
      <c r="AE8" s="128" t="n"/>
      <c r="AF8" s="117">
        <f>IF(OR(A8="",AD8=0),"",MAX(AD8-AE8,0)/AD8)</f>
        <v/>
      </c>
      <c r="AG8" s="54">
        <f>IF(A8="",0,(B8*40)+(C8*40))</f>
        <v/>
      </c>
      <c r="AH8" s="54">
        <f>IF(A8="",0,(B8*100)+(C8*0))</f>
        <v/>
      </c>
      <c r="AI8" s="54">
        <f>IF(A8="",0,(B8*10)+(C8*0))</f>
        <v/>
      </c>
      <c r="AJ8" s="54">
        <f>IF(A8="",0,(B8*50)+(C8*0))</f>
        <v/>
      </c>
      <c r="AK8" s="54">
        <f>IF(A8="",0,(B8*20)+(C8*0))</f>
        <v/>
      </c>
      <c r="AL8" s="54">
        <f>IF(A8="",0,(B8*60)+(C8*0))</f>
        <v/>
      </c>
      <c r="AM8" s="54">
        <f>IF(A8="",0,(B8*4)+(C8*4))</f>
        <v/>
      </c>
      <c r="AN8" s="54">
        <f>IF(A8="",0,(B8*4)+(C8*4))</f>
        <v/>
      </c>
      <c r="AO8" s="54">
        <f>IF(A8="",0,(B8*6)+(C8*0))</f>
        <v/>
      </c>
      <c r="AP8" s="54">
        <f>IF(A8="",0,(B8*4)+(C8*10))</f>
        <v/>
      </c>
      <c r="AQ8" s="54">
        <f>IF(A8="",0,(B8*65)+(C8*80))</f>
        <v/>
      </c>
      <c r="AR8" s="54">
        <f>IF(A8="",0,(B8*0)+(C8*5))</f>
        <v/>
      </c>
      <c r="AS8" s="54">
        <f>IF(A8="",0,(B8*0)+(C8*50))</f>
        <v/>
      </c>
      <c r="AT8" s="54">
        <f>IF(A8="",0,(G8*25.51+N8*30+S8*7.5)/1000)</f>
        <v/>
      </c>
      <c r="AU8" s="54">
        <f>IF(A8="",0,(H8*21.74+V8*7.5)/1000)</f>
        <v/>
      </c>
      <c r="AV8" s="54">
        <f>IF(A8="",0,(G8*0.71)/1000)</f>
        <v/>
      </c>
      <c r="AW8" s="54">
        <f>IF(A8="",0,(AB8*5)/1000)</f>
        <v/>
      </c>
      <c r="AX8" s="54">
        <f>IF(A8="",0,(Y8*7)/1000)</f>
        <v/>
      </c>
      <c r="AY8" s="54">
        <f>IF(A8="",0,(AE8*7)/1000)</f>
        <v/>
      </c>
      <c r="AZ8" s="54">
        <f>IF(A8="",0,ROUNDUP((H8+N8)/115,0)*1.5)</f>
        <v/>
      </c>
      <c r="BA8" s="54">
        <f>IF(A8="",0,ROUNDUP((H8+N8)/115,0)*20)</f>
        <v/>
      </c>
      <c r="BB8" s="54">
        <f>IF(A8="",0,ROUNDUP((H8+N8)/115,0)*80)</f>
        <v/>
      </c>
      <c r="BC8" s="54">
        <f>IF(A8="",0,ROUNDUP((H8+N8)/115,0)*5)</f>
        <v/>
      </c>
      <c r="BD8" s="54">
        <f>IF(A8="",0,ROUNDUP((H8+N8)/115,0)*2.5)</f>
        <v/>
      </c>
    </row>
    <row r="9">
      <c r="A9" s="127" t="n"/>
      <c r="B9" s="128" t="n"/>
      <c r="C9" s="128" t="n"/>
      <c r="D9" s="116">
        <f>IF(A9="","",B9*1508)</f>
        <v/>
      </c>
      <c r="E9" s="128" t="n"/>
      <c r="F9" s="128" t="n"/>
      <c r="G9" s="128" t="n"/>
      <c r="H9" s="128" t="n"/>
      <c r="I9" s="116">
        <f>IF(A9="","",MAX((E9/2)-G9,0))</f>
        <v/>
      </c>
      <c r="J9" s="117">
        <f>IF(OR(A9="",E9=0),"",I9/(E9/2))</f>
        <v/>
      </c>
      <c r="K9" s="116">
        <f>IF(A9="","",MAX((F9/2)-H9,0))</f>
        <v/>
      </c>
      <c r="L9" s="117">
        <f>IF(OR(A9="",F9=0),"",K9/(F9/2))</f>
        <v/>
      </c>
      <c r="M9" s="128" t="n"/>
      <c r="N9" s="128" t="n"/>
      <c r="O9" s="116">
        <f>IF(A9="","",MAX((M9/3)-N9,0))</f>
        <v/>
      </c>
      <c r="P9" s="117">
        <f>IF(OR(A9="",M9=0),"",O9/(M9/3))</f>
        <v/>
      </c>
      <c r="Q9" s="116">
        <f>IF(A9="","",C9*1508)</f>
        <v/>
      </c>
      <c r="R9" s="128" t="n"/>
      <c r="S9" s="128" t="n"/>
      <c r="T9" s="117">
        <f>IF(OR(A9="",R9=0),"",MAX(R9-S9,0)/R9)</f>
        <v/>
      </c>
      <c r="U9" s="128" t="n"/>
      <c r="V9" s="128" t="n"/>
      <c r="W9" s="117">
        <f>IF(OR(A9="",U9=0),"",MAX(U9-V9,0)/U9)</f>
        <v/>
      </c>
      <c r="X9" s="128" t="n"/>
      <c r="Y9" s="128" t="n"/>
      <c r="Z9" s="117">
        <f>IF(OR(A9="",X9=0),"",MAX(X9-Y9,0)/X9)</f>
        <v/>
      </c>
      <c r="AA9" s="128" t="n"/>
      <c r="AB9" s="128" t="n"/>
      <c r="AC9" s="117">
        <f>IF(OR(A9="",AA9=0),"",MAX(AA9-AB9,0)/AA9)</f>
        <v/>
      </c>
      <c r="AD9" s="128" t="n"/>
      <c r="AE9" s="128" t="n"/>
      <c r="AF9" s="117">
        <f>IF(OR(A9="",AD9=0),"",MAX(AD9-AE9,0)/AD9)</f>
        <v/>
      </c>
      <c r="AG9" s="54">
        <f>IF(A9="",0,(B9*40)+(C9*40))</f>
        <v/>
      </c>
      <c r="AH9" s="54">
        <f>IF(A9="",0,(B9*100)+(C9*0))</f>
        <v/>
      </c>
      <c r="AI9" s="54">
        <f>IF(A9="",0,(B9*10)+(C9*0))</f>
        <v/>
      </c>
      <c r="AJ9" s="54">
        <f>IF(A9="",0,(B9*50)+(C9*0))</f>
        <v/>
      </c>
      <c r="AK9" s="54">
        <f>IF(A9="",0,(B9*20)+(C9*0))</f>
        <v/>
      </c>
      <c r="AL9" s="54">
        <f>IF(A9="",0,(B9*60)+(C9*0))</f>
        <v/>
      </c>
      <c r="AM9" s="54">
        <f>IF(A9="",0,(B9*4)+(C9*4))</f>
        <v/>
      </c>
      <c r="AN9" s="54">
        <f>IF(A9="",0,(B9*4)+(C9*4))</f>
        <v/>
      </c>
      <c r="AO9" s="54">
        <f>IF(A9="",0,(B9*6)+(C9*0))</f>
        <v/>
      </c>
      <c r="AP9" s="54">
        <f>IF(A9="",0,(B9*4)+(C9*10))</f>
        <v/>
      </c>
      <c r="AQ9" s="54">
        <f>IF(A9="",0,(B9*65)+(C9*80))</f>
        <v/>
      </c>
      <c r="AR9" s="54">
        <f>IF(A9="",0,(B9*0)+(C9*5))</f>
        <v/>
      </c>
      <c r="AS9" s="54">
        <f>IF(A9="",0,(B9*0)+(C9*50))</f>
        <v/>
      </c>
      <c r="AT9" s="54">
        <f>IF(A9="",0,(G9*25.51+N9*30+S9*7.5)/1000)</f>
        <v/>
      </c>
      <c r="AU9" s="54">
        <f>IF(A9="",0,(H9*21.74+V9*7.5)/1000)</f>
        <v/>
      </c>
      <c r="AV9" s="54">
        <f>IF(A9="",0,(G9*0.71)/1000)</f>
        <v/>
      </c>
      <c r="AW9" s="54">
        <f>IF(A9="",0,(AB9*5)/1000)</f>
        <v/>
      </c>
      <c r="AX9" s="54">
        <f>IF(A9="",0,(Y9*7)/1000)</f>
        <v/>
      </c>
      <c r="AY9" s="54">
        <f>IF(A9="",0,(AE9*7)/1000)</f>
        <v/>
      </c>
      <c r="AZ9" s="54">
        <f>IF(A9="",0,ROUNDUP((H9+N9)/115,0)*1.5)</f>
        <v/>
      </c>
      <c r="BA9" s="54">
        <f>IF(A9="",0,ROUNDUP((H9+N9)/115,0)*20)</f>
        <v/>
      </c>
      <c r="BB9" s="54">
        <f>IF(A9="",0,ROUNDUP((H9+N9)/115,0)*80)</f>
        <v/>
      </c>
      <c r="BC9" s="54">
        <f>IF(A9="",0,ROUNDUP((H9+N9)/115,0)*5)</f>
        <v/>
      </c>
      <c r="BD9" s="54">
        <f>IF(A9="",0,ROUNDUP((H9+N9)/115,0)*2.5)</f>
        <v/>
      </c>
    </row>
    <row r="10">
      <c r="A10" s="127" t="n"/>
      <c r="B10" s="128" t="n"/>
      <c r="C10" s="128" t="n"/>
      <c r="D10" s="116">
        <f>IF(A10="","",B10*1508)</f>
        <v/>
      </c>
      <c r="E10" s="128" t="n"/>
      <c r="F10" s="128" t="n"/>
      <c r="G10" s="128" t="n"/>
      <c r="H10" s="128" t="n"/>
      <c r="I10" s="116">
        <f>IF(A10="","",MAX((E10/2)-G10,0))</f>
        <v/>
      </c>
      <c r="J10" s="117">
        <f>IF(OR(A10="",E10=0),"",I10/(E10/2))</f>
        <v/>
      </c>
      <c r="K10" s="116">
        <f>IF(A10="","",MAX((F10/2)-H10,0))</f>
        <v/>
      </c>
      <c r="L10" s="117">
        <f>IF(OR(A10="",F10=0),"",K10/(F10/2))</f>
        <v/>
      </c>
      <c r="M10" s="128" t="n"/>
      <c r="N10" s="128" t="n"/>
      <c r="O10" s="116">
        <f>IF(A10="","",MAX((M10/3)-N10,0))</f>
        <v/>
      </c>
      <c r="P10" s="117">
        <f>IF(OR(A10="",M10=0),"",O10/(M10/3))</f>
        <v/>
      </c>
      <c r="Q10" s="116">
        <f>IF(A10="","",C10*1508)</f>
        <v/>
      </c>
      <c r="R10" s="128" t="n"/>
      <c r="S10" s="128" t="n"/>
      <c r="T10" s="117">
        <f>IF(OR(A10="",R10=0),"",MAX(R10-S10,0)/R10)</f>
        <v/>
      </c>
      <c r="U10" s="128" t="n"/>
      <c r="V10" s="128" t="n"/>
      <c r="W10" s="117">
        <f>IF(OR(A10="",U10=0),"",MAX(U10-V10,0)/U10)</f>
        <v/>
      </c>
      <c r="X10" s="128" t="n"/>
      <c r="Y10" s="128" t="n"/>
      <c r="Z10" s="117">
        <f>IF(OR(A10="",X10=0),"",MAX(X10-Y10,0)/X10)</f>
        <v/>
      </c>
      <c r="AA10" s="128" t="n"/>
      <c r="AB10" s="128" t="n"/>
      <c r="AC10" s="117">
        <f>IF(OR(A10="",AA10=0),"",MAX(AA10-AB10,0)/AA10)</f>
        <v/>
      </c>
      <c r="AD10" s="128" t="n"/>
      <c r="AE10" s="128" t="n"/>
      <c r="AF10" s="117">
        <f>IF(OR(A10="",AD10=0),"",MAX(AD10-AE10,0)/AD10)</f>
        <v/>
      </c>
      <c r="AG10" s="54">
        <f>IF(A10="",0,(B10*40)+(C10*40))</f>
        <v/>
      </c>
      <c r="AH10" s="54">
        <f>IF(A10="",0,(B10*100)+(C10*0))</f>
        <v/>
      </c>
      <c r="AI10" s="54">
        <f>IF(A10="",0,(B10*10)+(C10*0))</f>
        <v/>
      </c>
      <c r="AJ10" s="54">
        <f>IF(A10="",0,(B10*50)+(C10*0))</f>
        <v/>
      </c>
      <c r="AK10" s="54">
        <f>IF(A10="",0,(B10*20)+(C10*0))</f>
        <v/>
      </c>
      <c r="AL10" s="54">
        <f>IF(A10="",0,(B10*60)+(C10*0))</f>
        <v/>
      </c>
      <c r="AM10" s="54">
        <f>IF(A10="",0,(B10*4)+(C10*4))</f>
        <v/>
      </c>
      <c r="AN10" s="54">
        <f>IF(A10="",0,(B10*4)+(C10*4))</f>
        <v/>
      </c>
      <c r="AO10" s="54">
        <f>IF(A10="",0,(B10*6)+(C10*0))</f>
        <v/>
      </c>
      <c r="AP10" s="54">
        <f>IF(A10="",0,(B10*4)+(C10*10))</f>
        <v/>
      </c>
      <c r="AQ10" s="54">
        <f>IF(A10="",0,(B10*65)+(C10*80))</f>
        <v/>
      </c>
      <c r="AR10" s="54">
        <f>IF(A10="",0,(B10*0)+(C10*5))</f>
        <v/>
      </c>
      <c r="AS10" s="54">
        <f>IF(A10="",0,(B10*0)+(C10*50))</f>
        <v/>
      </c>
      <c r="AT10" s="54">
        <f>IF(A10="",0,(G10*25.51+N10*30+S10*7.5)/1000)</f>
        <v/>
      </c>
      <c r="AU10" s="54">
        <f>IF(A10="",0,(H10*21.74+V10*7.5)/1000)</f>
        <v/>
      </c>
      <c r="AV10" s="54">
        <f>IF(A10="",0,(G10*0.71)/1000)</f>
        <v/>
      </c>
      <c r="AW10" s="54">
        <f>IF(A10="",0,(AB10*5)/1000)</f>
        <v/>
      </c>
      <c r="AX10" s="54">
        <f>IF(A10="",0,(Y10*7)/1000)</f>
        <v/>
      </c>
      <c r="AY10" s="54">
        <f>IF(A10="",0,(AE10*7)/1000)</f>
        <v/>
      </c>
      <c r="AZ10" s="54">
        <f>IF(A10="",0,ROUNDUP((H10+N10)/115,0)*1.5)</f>
        <v/>
      </c>
      <c r="BA10" s="54">
        <f>IF(A10="",0,ROUNDUP((H10+N10)/115,0)*20)</f>
        <v/>
      </c>
      <c r="BB10" s="54">
        <f>IF(A10="",0,ROUNDUP((H10+N10)/115,0)*80)</f>
        <v/>
      </c>
      <c r="BC10" s="54">
        <f>IF(A10="",0,ROUNDUP((H10+N10)/115,0)*5)</f>
        <v/>
      </c>
      <c r="BD10" s="54">
        <f>IF(A10="",0,ROUNDUP((H10+N10)/115,0)*2.5)</f>
        <v/>
      </c>
    </row>
    <row r="11">
      <c r="A11" s="127" t="n"/>
      <c r="B11" s="128" t="n"/>
      <c r="C11" s="128" t="n"/>
      <c r="D11" s="116">
        <f>IF(A11="","",B11*1508)</f>
        <v/>
      </c>
      <c r="E11" s="128" t="n"/>
      <c r="F11" s="128" t="n"/>
      <c r="G11" s="128" t="n"/>
      <c r="H11" s="128" t="n"/>
      <c r="I11" s="116">
        <f>IF(A11="","",MAX((E11/2)-G11,0))</f>
        <v/>
      </c>
      <c r="J11" s="117">
        <f>IF(OR(A11="",E11=0),"",I11/(E11/2))</f>
        <v/>
      </c>
      <c r="K11" s="116">
        <f>IF(A11="","",MAX((F11/2)-H11,0))</f>
        <v/>
      </c>
      <c r="L11" s="117">
        <f>IF(OR(A11="",F11=0),"",K11/(F11/2))</f>
        <v/>
      </c>
      <c r="M11" s="128" t="n"/>
      <c r="N11" s="128" t="n"/>
      <c r="O11" s="116">
        <f>IF(A11="","",MAX((M11/3)-N11,0))</f>
        <v/>
      </c>
      <c r="P11" s="117">
        <f>IF(OR(A11="",M11=0),"",O11/(M11/3))</f>
        <v/>
      </c>
      <c r="Q11" s="116">
        <f>IF(A11="","",C11*1508)</f>
        <v/>
      </c>
      <c r="R11" s="128" t="n"/>
      <c r="S11" s="128" t="n"/>
      <c r="T11" s="117">
        <f>IF(OR(A11="",R11=0),"",MAX(R11-S11,0)/R11)</f>
        <v/>
      </c>
      <c r="U11" s="128" t="n"/>
      <c r="V11" s="128" t="n"/>
      <c r="W11" s="117">
        <f>IF(OR(A11="",U11=0),"",MAX(U11-V11,0)/U11)</f>
        <v/>
      </c>
      <c r="X11" s="128" t="n"/>
      <c r="Y11" s="128" t="n"/>
      <c r="Z11" s="117">
        <f>IF(OR(A11="",X11=0),"",MAX(X11-Y11,0)/X11)</f>
        <v/>
      </c>
      <c r="AA11" s="128" t="n"/>
      <c r="AB11" s="128" t="n"/>
      <c r="AC11" s="117">
        <f>IF(OR(A11="",AA11=0),"",MAX(AA11-AB11,0)/AA11)</f>
        <v/>
      </c>
      <c r="AD11" s="128" t="n"/>
      <c r="AE11" s="128" t="n"/>
      <c r="AF11" s="117">
        <f>IF(OR(A11="",AD11=0),"",MAX(AD11-AE11,0)/AD11)</f>
        <v/>
      </c>
      <c r="AG11" s="54">
        <f>IF(A11="",0,(B11*40)+(C11*40))</f>
        <v/>
      </c>
      <c r="AH11" s="54">
        <f>IF(A11="",0,(B11*100)+(C11*0))</f>
        <v/>
      </c>
      <c r="AI11" s="54">
        <f>IF(A11="",0,(B11*10)+(C11*0))</f>
        <v/>
      </c>
      <c r="AJ11" s="54">
        <f>IF(A11="",0,(B11*50)+(C11*0))</f>
        <v/>
      </c>
      <c r="AK11" s="54">
        <f>IF(A11="",0,(B11*20)+(C11*0))</f>
        <v/>
      </c>
      <c r="AL11" s="54">
        <f>IF(A11="",0,(B11*60)+(C11*0))</f>
        <v/>
      </c>
      <c r="AM11" s="54">
        <f>IF(A11="",0,(B11*4)+(C11*4))</f>
        <v/>
      </c>
      <c r="AN11" s="54">
        <f>IF(A11="",0,(B11*4)+(C11*4))</f>
        <v/>
      </c>
      <c r="AO11" s="54">
        <f>IF(A11="",0,(B11*6)+(C11*0))</f>
        <v/>
      </c>
      <c r="AP11" s="54">
        <f>IF(A11="",0,(B11*4)+(C11*10))</f>
        <v/>
      </c>
      <c r="AQ11" s="54">
        <f>IF(A11="",0,(B11*65)+(C11*80))</f>
        <v/>
      </c>
      <c r="AR11" s="54">
        <f>IF(A11="",0,(B11*0)+(C11*5))</f>
        <v/>
      </c>
      <c r="AS11" s="54">
        <f>IF(A11="",0,(B11*0)+(C11*50))</f>
        <v/>
      </c>
      <c r="AT11" s="54">
        <f>IF(A11="",0,(G11*25.51+N11*30+S11*7.5)/1000)</f>
        <v/>
      </c>
      <c r="AU11" s="54">
        <f>IF(A11="",0,(H11*21.74+V11*7.5)/1000)</f>
        <v/>
      </c>
      <c r="AV11" s="54">
        <f>IF(A11="",0,(G11*0.71)/1000)</f>
        <v/>
      </c>
      <c r="AW11" s="54">
        <f>IF(A11="",0,(AB11*5)/1000)</f>
        <v/>
      </c>
      <c r="AX11" s="54">
        <f>IF(A11="",0,(Y11*7)/1000)</f>
        <v/>
      </c>
      <c r="AY11" s="54">
        <f>IF(A11="",0,(AE11*7)/1000)</f>
        <v/>
      </c>
      <c r="AZ11" s="54">
        <f>IF(A11="",0,ROUNDUP((H11+N11)/115,0)*1.5)</f>
        <v/>
      </c>
      <c r="BA11" s="54">
        <f>IF(A11="",0,ROUNDUP((H11+N11)/115,0)*20)</f>
        <v/>
      </c>
      <c r="BB11" s="54">
        <f>IF(A11="",0,ROUNDUP((H11+N11)/115,0)*80)</f>
        <v/>
      </c>
      <c r="BC11" s="54">
        <f>IF(A11="",0,ROUNDUP((H11+N11)/115,0)*5)</f>
        <v/>
      </c>
      <c r="BD11" s="54">
        <f>IF(A11="",0,ROUNDUP((H11+N11)/115,0)*2.5)</f>
        <v/>
      </c>
    </row>
    <row r="12">
      <c r="A12" s="127" t="n"/>
      <c r="B12" s="128" t="n"/>
      <c r="C12" s="128" t="n"/>
      <c r="D12" s="116">
        <f>IF(A12="","",B12*1508)</f>
        <v/>
      </c>
      <c r="E12" s="128" t="n"/>
      <c r="F12" s="128" t="n"/>
      <c r="G12" s="128" t="n"/>
      <c r="H12" s="128" t="n"/>
      <c r="I12" s="116">
        <f>IF(A12="","",MAX((E12/2)-G12,0))</f>
        <v/>
      </c>
      <c r="J12" s="117">
        <f>IF(OR(A12="",E12=0),"",I12/(E12/2))</f>
        <v/>
      </c>
      <c r="K12" s="116">
        <f>IF(A12="","",MAX((F12/2)-H12,0))</f>
        <v/>
      </c>
      <c r="L12" s="117">
        <f>IF(OR(A12="",F12=0),"",K12/(F12/2))</f>
        <v/>
      </c>
      <c r="M12" s="128" t="n"/>
      <c r="N12" s="128" t="n"/>
      <c r="O12" s="116">
        <f>IF(A12="","",MAX((M12/3)-N12,0))</f>
        <v/>
      </c>
      <c r="P12" s="117">
        <f>IF(OR(A12="",M12=0),"",O12/(M12/3))</f>
        <v/>
      </c>
      <c r="Q12" s="116">
        <f>IF(A12="","",C12*1508)</f>
        <v/>
      </c>
      <c r="R12" s="128" t="n"/>
      <c r="S12" s="128" t="n"/>
      <c r="T12" s="117">
        <f>IF(OR(A12="",R12=0),"",MAX(R12-S12,0)/R12)</f>
        <v/>
      </c>
      <c r="U12" s="128" t="n"/>
      <c r="V12" s="128" t="n"/>
      <c r="W12" s="117">
        <f>IF(OR(A12="",U12=0),"",MAX(U12-V12,0)/U12)</f>
        <v/>
      </c>
      <c r="X12" s="128" t="n"/>
      <c r="Y12" s="128" t="n"/>
      <c r="Z12" s="117">
        <f>IF(OR(A12="",X12=0),"",MAX(X12-Y12,0)/X12)</f>
        <v/>
      </c>
      <c r="AA12" s="128" t="n"/>
      <c r="AB12" s="128" t="n"/>
      <c r="AC12" s="117">
        <f>IF(OR(A12="",AA12=0),"",MAX(AA12-AB12,0)/AA12)</f>
        <v/>
      </c>
      <c r="AD12" s="128" t="n"/>
      <c r="AE12" s="128" t="n"/>
      <c r="AF12" s="117">
        <f>IF(OR(A12="",AD12=0),"",MAX(AD12-AE12,0)/AD12)</f>
        <v/>
      </c>
      <c r="AG12" s="54">
        <f>IF(A12="",0,(B12*40)+(C12*40))</f>
        <v/>
      </c>
      <c r="AH12" s="54">
        <f>IF(A12="",0,(B12*100)+(C12*0))</f>
        <v/>
      </c>
      <c r="AI12" s="54">
        <f>IF(A12="",0,(B12*10)+(C12*0))</f>
        <v/>
      </c>
      <c r="AJ12" s="54">
        <f>IF(A12="",0,(B12*50)+(C12*0))</f>
        <v/>
      </c>
      <c r="AK12" s="54">
        <f>IF(A12="",0,(B12*20)+(C12*0))</f>
        <v/>
      </c>
      <c r="AL12" s="54">
        <f>IF(A12="",0,(B12*60)+(C12*0))</f>
        <v/>
      </c>
      <c r="AM12" s="54">
        <f>IF(A12="",0,(B12*4)+(C12*4))</f>
        <v/>
      </c>
      <c r="AN12" s="54">
        <f>IF(A12="",0,(B12*4)+(C12*4))</f>
        <v/>
      </c>
      <c r="AO12" s="54">
        <f>IF(A12="",0,(B12*6)+(C12*0))</f>
        <v/>
      </c>
      <c r="AP12" s="54">
        <f>IF(A12="",0,(B12*4)+(C12*10))</f>
        <v/>
      </c>
      <c r="AQ12" s="54">
        <f>IF(A12="",0,(B12*65)+(C12*80))</f>
        <v/>
      </c>
      <c r="AR12" s="54">
        <f>IF(A12="",0,(B12*0)+(C12*5))</f>
        <v/>
      </c>
      <c r="AS12" s="54">
        <f>IF(A12="",0,(B12*0)+(C12*50))</f>
        <v/>
      </c>
      <c r="AT12" s="54">
        <f>IF(A12="",0,(G12*25.51+N12*30+S12*7.5)/1000)</f>
        <v/>
      </c>
      <c r="AU12" s="54">
        <f>IF(A12="",0,(H12*21.74+V12*7.5)/1000)</f>
        <v/>
      </c>
      <c r="AV12" s="54">
        <f>IF(A12="",0,(G12*0.71)/1000)</f>
        <v/>
      </c>
      <c r="AW12" s="54">
        <f>IF(A12="",0,(AB12*5)/1000)</f>
        <v/>
      </c>
      <c r="AX12" s="54">
        <f>IF(A12="",0,(Y12*7)/1000)</f>
        <v/>
      </c>
      <c r="AY12" s="54">
        <f>IF(A12="",0,(AE12*7)/1000)</f>
        <v/>
      </c>
      <c r="AZ12" s="54">
        <f>IF(A12="",0,ROUNDUP((H12+N12)/115,0)*1.5)</f>
        <v/>
      </c>
      <c r="BA12" s="54">
        <f>IF(A12="",0,ROUNDUP((H12+N12)/115,0)*20)</f>
        <v/>
      </c>
      <c r="BB12" s="54">
        <f>IF(A12="",0,ROUNDUP((H12+N12)/115,0)*80)</f>
        <v/>
      </c>
      <c r="BC12" s="54">
        <f>IF(A12="",0,ROUNDUP((H12+N12)/115,0)*5)</f>
        <v/>
      </c>
      <c r="BD12" s="54">
        <f>IF(A12="",0,ROUNDUP((H12+N12)/115,0)*2.5)</f>
        <v/>
      </c>
    </row>
    <row r="13">
      <c r="A13" s="127" t="n"/>
      <c r="B13" s="128" t="n"/>
      <c r="C13" s="128" t="n"/>
      <c r="D13" s="116">
        <f>IF(A13="","",B13*1508)</f>
        <v/>
      </c>
      <c r="E13" s="128" t="n"/>
      <c r="F13" s="128" t="n"/>
      <c r="G13" s="128" t="n"/>
      <c r="H13" s="128" t="n"/>
      <c r="I13" s="116">
        <f>IF(A13="","",MAX((E13/2)-G13,0))</f>
        <v/>
      </c>
      <c r="J13" s="117">
        <f>IF(OR(A13="",E13=0),"",I13/(E13/2))</f>
        <v/>
      </c>
      <c r="K13" s="116">
        <f>IF(A13="","",MAX((F13/2)-H13,0))</f>
        <v/>
      </c>
      <c r="L13" s="117">
        <f>IF(OR(A13="",F13=0),"",K13/(F13/2))</f>
        <v/>
      </c>
      <c r="M13" s="128" t="n"/>
      <c r="N13" s="128" t="n"/>
      <c r="O13" s="116">
        <f>IF(A13="","",MAX((M13/3)-N13,0))</f>
        <v/>
      </c>
      <c r="P13" s="117">
        <f>IF(OR(A13="",M13=0),"",O13/(M13/3))</f>
        <v/>
      </c>
      <c r="Q13" s="116">
        <f>IF(A13="","",C13*1508)</f>
        <v/>
      </c>
      <c r="R13" s="128" t="n"/>
      <c r="S13" s="128" t="n"/>
      <c r="T13" s="117">
        <f>IF(OR(A13="",R13=0),"",MAX(R13-S13,0)/R13)</f>
        <v/>
      </c>
      <c r="U13" s="128" t="n"/>
      <c r="V13" s="128" t="n"/>
      <c r="W13" s="117">
        <f>IF(OR(A13="",U13=0),"",MAX(U13-V13,0)/U13)</f>
        <v/>
      </c>
      <c r="X13" s="128" t="n"/>
      <c r="Y13" s="128" t="n"/>
      <c r="Z13" s="117">
        <f>IF(OR(A13="",X13=0),"",MAX(X13-Y13,0)/X13)</f>
        <v/>
      </c>
      <c r="AA13" s="128" t="n"/>
      <c r="AB13" s="128" t="n"/>
      <c r="AC13" s="117">
        <f>IF(OR(A13="",AA13=0),"",MAX(AA13-AB13,0)/AA13)</f>
        <v/>
      </c>
      <c r="AD13" s="128" t="n"/>
      <c r="AE13" s="128" t="n"/>
      <c r="AF13" s="117">
        <f>IF(OR(A13="",AD13=0),"",MAX(AD13-AE13,0)/AD13)</f>
        <v/>
      </c>
      <c r="AG13" s="54">
        <f>IF(A13="",0,(B13*40)+(C13*40))</f>
        <v/>
      </c>
      <c r="AH13" s="54">
        <f>IF(A13="",0,(B13*100)+(C13*0))</f>
        <v/>
      </c>
      <c r="AI13" s="54">
        <f>IF(A13="",0,(B13*10)+(C13*0))</f>
        <v/>
      </c>
      <c r="AJ13" s="54">
        <f>IF(A13="",0,(B13*50)+(C13*0))</f>
        <v/>
      </c>
      <c r="AK13" s="54">
        <f>IF(A13="",0,(B13*20)+(C13*0))</f>
        <v/>
      </c>
      <c r="AL13" s="54">
        <f>IF(A13="",0,(B13*60)+(C13*0))</f>
        <v/>
      </c>
      <c r="AM13" s="54">
        <f>IF(A13="",0,(B13*4)+(C13*4))</f>
        <v/>
      </c>
      <c r="AN13" s="54">
        <f>IF(A13="",0,(B13*4)+(C13*4))</f>
        <v/>
      </c>
      <c r="AO13" s="54">
        <f>IF(A13="",0,(B13*6)+(C13*0))</f>
        <v/>
      </c>
      <c r="AP13" s="54">
        <f>IF(A13="",0,(B13*4)+(C13*10))</f>
        <v/>
      </c>
      <c r="AQ13" s="54">
        <f>IF(A13="",0,(B13*65)+(C13*80))</f>
        <v/>
      </c>
      <c r="AR13" s="54">
        <f>IF(A13="",0,(B13*0)+(C13*5))</f>
        <v/>
      </c>
      <c r="AS13" s="54">
        <f>IF(A13="",0,(B13*0)+(C13*50))</f>
        <v/>
      </c>
      <c r="AT13" s="54">
        <f>IF(A13="",0,(G13*25.51+N13*30+S13*7.5)/1000)</f>
        <v/>
      </c>
      <c r="AU13" s="54">
        <f>IF(A13="",0,(H13*21.74+V13*7.5)/1000)</f>
        <v/>
      </c>
      <c r="AV13" s="54">
        <f>IF(A13="",0,(G13*0.71)/1000)</f>
        <v/>
      </c>
      <c r="AW13" s="54">
        <f>IF(A13="",0,(AB13*5)/1000)</f>
        <v/>
      </c>
      <c r="AX13" s="54">
        <f>IF(A13="",0,(Y13*7)/1000)</f>
        <v/>
      </c>
      <c r="AY13" s="54">
        <f>IF(A13="",0,(AE13*7)/1000)</f>
        <v/>
      </c>
      <c r="AZ13" s="54">
        <f>IF(A13="",0,ROUNDUP((H13+N13)/115,0)*1.5)</f>
        <v/>
      </c>
      <c r="BA13" s="54">
        <f>IF(A13="",0,ROUNDUP((H13+N13)/115,0)*20)</f>
        <v/>
      </c>
      <c r="BB13" s="54">
        <f>IF(A13="",0,ROUNDUP((H13+N13)/115,0)*80)</f>
        <v/>
      </c>
      <c r="BC13" s="54">
        <f>IF(A13="",0,ROUNDUP((H13+N13)/115,0)*5)</f>
        <v/>
      </c>
      <c r="BD13" s="54">
        <f>IF(A13="",0,ROUNDUP((H13+N13)/115,0)*2.5)</f>
        <v/>
      </c>
    </row>
    <row r="14">
      <c r="A14" s="127" t="n"/>
      <c r="B14" s="128" t="n"/>
      <c r="C14" s="128" t="n"/>
      <c r="D14" s="116">
        <f>IF(A14="","",B14*1508)</f>
        <v/>
      </c>
      <c r="E14" s="128" t="n"/>
      <c r="F14" s="128" t="n"/>
      <c r="G14" s="128" t="n"/>
      <c r="H14" s="128" t="n"/>
      <c r="I14" s="116">
        <f>IF(A14="","",MAX((E14/2)-G14,0))</f>
        <v/>
      </c>
      <c r="J14" s="117">
        <f>IF(OR(A14="",E14=0),"",I14/(E14/2))</f>
        <v/>
      </c>
      <c r="K14" s="116">
        <f>IF(A14="","",MAX((F14/2)-H14,0))</f>
        <v/>
      </c>
      <c r="L14" s="117">
        <f>IF(OR(A14="",F14=0),"",K14/(F14/2))</f>
        <v/>
      </c>
      <c r="M14" s="128" t="n"/>
      <c r="N14" s="128" t="n"/>
      <c r="O14" s="116">
        <f>IF(A14="","",MAX((M14/3)-N14,0))</f>
        <v/>
      </c>
      <c r="P14" s="117">
        <f>IF(OR(A14="",M14=0),"",O14/(M14/3))</f>
        <v/>
      </c>
      <c r="Q14" s="116">
        <f>IF(A14="","",C14*1508)</f>
        <v/>
      </c>
      <c r="R14" s="128" t="n"/>
      <c r="S14" s="128" t="n"/>
      <c r="T14" s="117">
        <f>IF(OR(A14="",R14=0),"",MAX(R14-S14,0)/R14)</f>
        <v/>
      </c>
      <c r="U14" s="128" t="n"/>
      <c r="V14" s="128" t="n"/>
      <c r="W14" s="117">
        <f>IF(OR(A14="",U14=0),"",MAX(U14-V14,0)/U14)</f>
        <v/>
      </c>
      <c r="X14" s="128" t="n"/>
      <c r="Y14" s="128" t="n"/>
      <c r="Z14" s="117">
        <f>IF(OR(A14="",X14=0),"",MAX(X14-Y14,0)/X14)</f>
        <v/>
      </c>
      <c r="AA14" s="128" t="n"/>
      <c r="AB14" s="128" t="n"/>
      <c r="AC14" s="117">
        <f>IF(OR(A14="",AA14=0),"",MAX(AA14-AB14,0)/AA14)</f>
        <v/>
      </c>
      <c r="AD14" s="128" t="n"/>
      <c r="AE14" s="128" t="n"/>
      <c r="AF14" s="117">
        <f>IF(OR(A14="",AD14=0),"",MAX(AD14-AE14,0)/AD14)</f>
        <v/>
      </c>
      <c r="AG14" s="54">
        <f>IF(A14="",0,(B14*40)+(C14*40))</f>
        <v/>
      </c>
      <c r="AH14" s="54">
        <f>IF(A14="",0,(B14*100)+(C14*0))</f>
        <v/>
      </c>
      <c r="AI14" s="54">
        <f>IF(A14="",0,(B14*10)+(C14*0))</f>
        <v/>
      </c>
      <c r="AJ14" s="54">
        <f>IF(A14="",0,(B14*50)+(C14*0))</f>
        <v/>
      </c>
      <c r="AK14" s="54">
        <f>IF(A14="",0,(B14*20)+(C14*0))</f>
        <v/>
      </c>
      <c r="AL14" s="54">
        <f>IF(A14="",0,(B14*60)+(C14*0))</f>
        <v/>
      </c>
      <c r="AM14" s="54">
        <f>IF(A14="",0,(B14*4)+(C14*4))</f>
        <v/>
      </c>
      <c r="AN14" s="54">
        <f>IF(A14="",0,(B14*4)+(C14*4))</f>
        <v/>
      </c>
      <c r="AO14" s="54">
        <f>IF(A14="",0,(B14*6)+(C14*0))</f>
        <v/>
      </c>
      <c r="AP14" s="54">
        <f>IF(A14="",0,(B14*4)+(C14*10))</f>
        <v/>
      </c>
      <c r="AQ14" s="54">
        <f>IF(A14="",0,(B14*65)+(C14*80))</f>
        <v/>
      </c>
      <c r="AR14" s="54">
        <f>IF(A14="",0,(B14*0)+(C14*5))</f>
        <v/>
      </c>
      <c r="AS14" s="54">
        <f>IF(A14="",0,(B14*0)+(C14*50))</f>
        <v/>
      </c>
      <c r="AT14" s="54">
        <f>IF(A14="",0,(G14*25.51+N14*30+S14*7.5)/1000)</f>
        <v/>
      </c>
      <c r="AU14" s="54">
        <f>IF(A14="",0,(H14*21.74+V14*7.5)/1000)</f>
        <v/>
      </c>
      <c r="AV14" s="54">
        <f>IF(A14="",0,(G14*0.71)/1000)</f>
        <v/>
      </c>
      <c r="AW14" s="54">
        <f>IF(A14="",0,(AB14*5)/1000)</f>
        <v/>
      </c>
      <c r="AX14" s="54">
        <f>IF(A14="",0,(Y14*7)/1000)</f>
        <v/>
      </c>
      <c r="AY14" s="54">
        <f>IF(A14="",0,(AE14*7)/1000)</f>
        <v/>
      </c>
      <c r="AZ14" s="54">
        <f>IF(A14="",0,ROUNDUP((H14+N14)/115,0)*1.5)</f>
        <v/>
      </c>
      <c r="BA14" s="54">
        <f>IF(A14="",0,ROUNDUP((H14+N14)/115,0)*20)</f>
        <v/>
      </c>
      <c r="BB14" s="54">
        <f>IF(A14="",0,ROUNDUP((H14+N14)/115,0)*80)</f>
        <v/>
      </c>
      <c r="BC14" s="54">
        <f>IF(A14="",0,ROUNDUP((H14+N14)/115,0)*5)</f>
        <v/>
      </c>
      <c r="BD14" s="54">
        <f>IF(A14="",0,ROUNDUP((H14+N14)/115,0)*2.5)</f>
        <v/>
      </c>
    </row>
    <row r="15">
      <c r="A15" s="127" t="n"/>
      <c r="B15" s="128" t="n"/>
      <c r="C15" s="128" t="n"/>
      <c r="D15" s="116">
        <f>IF(A15="","",B15*1508)</f>
        <v/>
      </c>
      <c r="E15" s="128" t="n"/>
      <c r="F15" s="128" t="n"/>
      <c r="G15" s="128" t="n"/>
      <c r="H15" s="128" t="n"/>
      <c r="I15" s="116">
        <f>IF(A15="","",MAX((E15/2)-G15,0))</f>
        <v/>
      </c>
      <c r="J15" s="117">
        <f>IF(OR(A15="",E15=0),"",I15/(E15/2))</f>
        <v/>
      </c>
      <c r="K15" s="116">
        <f>IF(A15="","",MAX((F15/2)-H15,0))</f>
        <v/>
      </c>
      <c r="L15" s="117">
        <f>IF(OR(A15="",F15=0),"",K15/(F15/2))</f>
        <v/>
      </c>
      <c r="M15" s="128" t="n"/>
      <c r="N15" s="128" t="n"/>
      <c r="O15" s="116">
        <f>IF(A15="","",MAX((M15/3)-N15,0))</f>
        <v/>
      </c>
      <c r="P15" s="117">
        <f>IF(OR(A15="",M15=0),"",O15/(M15/3))</f>
        <v/>
      </c>
      <c r="Q15" s="116">
        <f>IF(A15="","",C15*1508)</f>
        <v/>
      </c>
      <c r="R15" s="128" t="n"/>
      <c r="S15" s="128" t="n"/>
      <c r="T15" s="117">
        <f>IF(OR(A15="",R15=0),"",MAX(R15-S15,0)/R15)</f>
        <v/>
      </c>
      <c r="U15" s="128" t="n"/>
      <c r="V15" s="128" t="n"/>
      <c r="W15" s="117">
        <f>IF(OR(A15="",U15=0),"",MAX(U15-V15,0)/U15)</f>
        <v/>
      </c>
      <c r="X15" s="128" t="n"/>
      <c r="Y15" s="128" t="n"/>
      <c r="Z15" s="117">
        <f>IF(OR(A15="",X15=0),"",MAX(X15-Y15,0)/X15)</f>
        <v/>
      </c>
      <c r="AA15" s="128" t="n"/>
      <c r="AB15" s="128" t="n"/>
      <c r="AC15" s="117">
        <f>IF(OR(A15="",AA15=0),"",MAX(AA15-AB15,0)/AA15)</f>
        <v/>
      </c>
      <c r="AD15" s="128" t="n"/>
      <c r="AE15" s="128" t="n"/>
      <c r="AF15" s="117">
        <f>IF(OR(A15="",AD15=0),"",MAX(AD15-AE15,0)/AD15)</f>
        <v/>
      </c>
      <c r="AG15" s="54">
        <f>IF(A15="",0,(B15*40)+(C15*40))</f>
        <v/>
      </c>
      <c r="AH15" s="54">
        <f>IF(A15="",0,(B15*100)+(C15*0))</f>
        <v/>
      </c>
      <c r="AI15" s="54">
        <f>IF(A15="",0,(B15*10)+(C15*0))</f>
        <v/>
      </c>
      <c r="AJ15" s="54">
        <f>IF(A15="",0,(B15*50)+(C15*0))</f>
        <v/>
      </c>
      <c r="AK15" s="54">
        <f>IF(A15="",0,(B15*20)+(C15*0))</f>
        <v/>
      </c>
      <c r="AL15" s="54">
        <f>IF(A15="",0,(B15*60)+(C15*0))</f>
        <v/>
      </c>
      <c r="AM15" s="54">
        <f>IF(A15="",0,(B15*4)+(C15*4))</f>
        <v/>
      </c>
      <c r="AN15" s="54">
        <f>IF(A15="",0,(B15*4)+(C15*4))</f>
        <v/>
      </c>
      <c r="AO15" s="54">
        <f>IF(A15="",0,(B15*6)+(C15*0))</f>
        <v/>
      </c>
      <c r="AP15" s="54">
        <f>IF(A15="",0,(B15*4)+(C15*10))</f>
        <v/>
      </c>
      <c r="AQ15" s="54">
        <f>IF(A15="",0,(B15*65)+(C15*80))</f>
        <v/>
      </c>
      <c r="AR15" s="54">
        <f>IF(A15="",0,(B15*0)+(C15*5))</f>
        <v/>
      </c>
      <c r="AS15" s="54">
        <f>IF(A15="",0,(B15*0)+(C15*50))</f>
        <v/>
      </c>
      <c r="AT15" s="54">
        <f>IF(A15="",0,(G15*25.51+N15*30+S15*7.5)/1000)</f>
        <v/>
      </c>
      <c r="AU15" s="54">
        <f>IF(A15="",0,(H15*21.74+V15*7.5)/1000)</f>
        <v/>
      </c>
      <c r="AV15" s="54">
        <f>IF(A15="",0,(G15*0.71)/1000)</f>
        <v/>
      </c>
      <c r="AW15" s="54">
        <f>IF(A15="",0,(AB15*5)/1000)</f>
        <v/>
      </c>
      <c r="AX15" s="54">
        <f>IF(A15="",0,(Y15*7)/1000)</f>
        <v/>
      </c>
      <c r="AY15" s="54">
        <f>IF(A15="",0,(AE15*7)/1000)</f>
        <v/>
      </c>
      <c r="AZ15" s="54">
        <f>IF(A15="",0,ROUNDUP((H15+N15)/115,0)*1.5)</f>
        <v/>
      </c>
      <c r="BA15" s="54">
        <f>IF(A15="",0,ROUNDUP((H15+N15)/115,0)*20)</f>
        <v/>
      </c>
      <c r="BB15" s="54">
        <f>IF(A15="",0,ROUNDUP((H15+N15)/115,0)*80)</f>
        <v/>
      </c>
      <c r="BC15" s="54">
        <f>IF(A15="",0,ROUNDUP((H15+N15)/115,0)*5)</f>
        <v/>
      </c>
      <c r="BD15" s="54">
        <f>IF(A15="",0,ROUNDUP((H15+N15)/115,0)*2.5)</f>
        <v/>
      </c>
    </row>
    <row r="16">
      <c r="A16" s="127" t="n"/>
      <c r="B16" s="128" t="n"/>
      <c r="C16" s="128" t="n"/>
      <c r="D16" s="116">
        <f>IF(A16="","",B16*1508)</f>
        <v/>
      </c>
      <c r="E16" s="128" t="n"/>
      <c r="F16" s="128" t="n"/>
      <c r="G16" s="128" t="n"/>
      <c r="H16" s="128" t="n"/>
      <c r="I16" s="116">
        <f>IF(A16="","",MAX((E16/2)-G16,0))</f>
        <v/>
      </c>
      <c r="J16" s="117">
        <f>IF(OR(A16="",E16=0),"",I16/(E16/2))</f>
        <v/>
      </c>
      <c r="K16" s="116">
        <f>IF(A16="","",MAX((F16/2)-H16,0))</f>
        <v/>
      </c>
      <c r="L16" s="117">
        <f>IF(OR(A16="",F16=0),"",K16/(F16/2))</f>
        <v/>
      </c>
      <c r="M16" s="128" t="n"/>
      <c r="N16" s="128" t="n"/>
      <c r="O16" s="116">
        <f>IF(A16="","",MAX((M16/3)-N16,0))</f>
        <v/>
      </c>
      <c r="P16" s="117">
        <f>IF(OR(A16="",M16=0),"",O16/(M16/3))</f>
        <v/>
      </c>
      <c r="Q16" s="116">
        <f>IF(A16="","",C16*1508)</f>
        <v/>
      </c>
      <c r="R16" s="128" t="n"/>
      <c r="S16" s="128" t="n"/>
      <c r="T16" s="117">
        <f>IF(OR(A16="",R16=0),"",MAX(R16-S16,0)/R16)</f>
        <v/>
      </c>
      <c r="U16" s="128" t="n"/>
      <c r="V16" s="128" t="n"/>
      <c r="W16" s="117">
        <f>IF(OR(A16="",U16=0),"",MAX(U16-V16,0)/U16)</f>
        <v/>
      </c>
      <c r="X16" s="128" t="n"/>
      <c r="Y16" s="128" t="n"/>
      <c r="Z16" s="117">
        <f>IF(OR(A16="",X16=0),"",MAX(X16-Y16,0)/X16)</f>
        <v/>
      </c>
      <c r="AA16" s="128" t="n"/>
      <c r="AB16" s="128" t="n"/>
      <c r="AC16" s="117">
        <f>IF(OR(A16="",AA16=0),"",MAX(AA16-AB16,0)/AA16)</f>
        <v/>
      </c>
      <c r="AD16" s="128" t="n"/>
      <c r="AE16" s="128" t="n"/>
      <c r="AF16" s="117">
        <f>IF(OR(A16="",AD16=0),"",MAX(AD16-AE16,0)/AD16)</f>
        <v/>
      </c>
      <c r="AG16" s="54">
        <f>IF(A16="",0,(B16*40)+(C16*40))</f>
        <v/>
      </c>
      <c r="AH16" s="54">
        <f>IF(A16="",0,(B16*100)+(C16*0))</f>
        <v/>
      </c>
      <c r="AI16" s="54">
        <f>IF(A16="",0,(B16*10)+(C16*0))</f>
        <v/>
      </c>
      <c r="AJ16" s="54">
        <f>IF(A16="",0,(B16*50)+(C16*0))</f>
        <v/>
      </c>
      <c r="AK16" s="54">
        <f>IF(A16="",0,(B16*20)+(C16*0))</f>
        <v/>
      </c>
      <c r="AL16" s="54">
        <f>IF(A16="",0,(B16*60)+(C16*0))</f>
        <v/>
      </c>
      <c r="AM16" s="54">
        <f>IF(A16="",0,(B16*4)+(C16*4))</f>
        <v/>
      </c>
      <c r="AN16" s="54">
        <f>IF(A16="",0,(B16*4)+(C16*4))</f>
        <v/>
      </c>
      <c r="AO16" s="54">
        <f>IF(A16="",0,(B16*6)+(C16*0))</f>
        <v/>
      </c>
      <c r="AP16" s="54">
        <f>IF(A16="",0,(B16*4)+(C16*10))</f>
        <v/>
      </c>
      <c r="AQ16" s="54">
        <f>IF(A16="",0,(B16*65)+(C16*80))</f>
        <v/>
      </c>
      <c r="AR16" s="54">
        <f>IF(A16="",0,(B16*0)+(C16*5))</f>
        <v/>
      </c>
      <c r="AS16" s="54">
        <f>IF(A16="",0,(B16*0)+(C16*50))</f>
        <v/>
      </c>
      <c r="AT16" s="54">
        <f>IF(A16="",0,(G16*25.51+N16*30+S16*7.5)/1000)</f>
        <v/>
      </c>
      <c r="AU16" s="54">
        <f>IF(A16="",0,(H16*21.74+V16*7.5)/1000)</f>
        <v/>
      </c>
      <c r="AV16" s="54">
        <f>IF(A16="",0,(G16*0.71)/1000)</f>
        <v/>
      </c>
      <c r="AW16" s="54">
        <f>IF(A16="",0,(AB16*5)/1000)</f>
        <v/>
      </c>
      <c r="AX16" s="54">
        <f>IF(A16="",0,(Y16*7)/1000)</f>
        <v/>
      </c>
      <c r="AY16" s="54">
        <f>IF(A16="",0,(AE16*7)/1000)</f>
        <v/>
      </c>
      <c r="AZ16" s="54">
        <f>IF(A16="",0,ROUNDUP((H16+N16)/115,0)*1.5)</f>
        <v/>
      </c>
      <c r="BA16" s="54">
        <f>IF(A16="",0,ROUNDUP((H16+N16)/115,0)*20)</f>
        <v/>
      </c>
      <c r="BB16" s="54">
        <f>IF(A16="",0,ROUNDUP((H16+N16)/115,0)*80)</f>
        <v/>
      </c>
      <c r="BC16" s="54">
        <f>IF(A16="",0,ROUNDUP((H16+N16)/115,0)*5)</f>
        <v/>
      </c>
      <c r="BD16" s="54">
        <f>IF(A16="",0,ROUNDUP((H16+N16)/115,0)*2.5)</f>
        <v/>
      </c>
    </row>
    <row r="17">
      <c r="A17" s="127" t="n"/>
      <c r="B17" s="128" t="n"/>
      <c r="C17" s="128" t="n"/>
      <c r="D17" s="116">
        <f>IF(A17="","",B17*1508)</f>
        <v/>
      </c>
      <c r="E17" s="128" t="n"/>
      <c r="F17" s="128" t="n"/>
      <c r="G17" s="128" t="n"/>
      <c r="H17" s="128" t="n"/>
      <c r="I17" s="116">
        <f>IF(A17="","",MAX((E17/2)-G17,0))</f>
        <v/>
      </c>
      <c r="J17" s="117">
        <f>IF(OR(A17="",E17=0),"",I17/(E17/2))</f>
        <v/>
      </c>
      <c r="K17" s="116">
        <f>IF(A17="","",MAX((F17/2)-H17,0))</f>
        <v/>
      </c>
      <c r="L17" s="117">
        <f>IF(OR(A17="",F17=0),"",K17/(F17/2))</f>
        <v/>
      </c>
      <c r="M17" s="128" t="n"/>
      <c r="N17" s="128" t="n"/>
      <c r="O17" s="116">
        <f>IF(A17="","",MAX((M17/3)-N17,0))</f>
        <v/>
      </c>
      <c r="P17" s="117">
        <f>IF(OR(A17="",M17=0),"",O17/(M17/3))</f>
        <v/>
      </c>
      <c r="Q17" s="116">
        <f>IF(A17="","",C17*1508)</f>
        <v/>
      </c>
      <c r="R17" s="128" t="n"/>
      <c r="S17" s="128" t="n"/>
      <c r="T17" s="117">
        <f>IF(OR(A17="",R17=0),"",MAX(R17-S17,0)/R17)</f>
        <v/>
      </c>
      <c r="U17" s="128" t="n"/>
      <c r="V17" s="128" t="n"/>
      <c r="W17" s="117">
        <f>IF(OR(A17="",U17=0),"",MAX(U17-V17,0)/U17)</f>
        <v/>
      </c>
      <c r="X17" s="128" t="n"/>
      <c r="Y17" s="128" t="n"/>
      <c r="Z17" s="117">
        <f>IF(OR(A17="",X17=0),"",MAX(X17-Y17,0)/X17)</f>
        <v/>
      </c>
      <c r="AA17" s="128" t="n"/>
      <c r="AB17" s="128" t="n"/>
      <c r="AC17" s="117">
        <f>IF(OR(A17="",AA17=0),"",MAX(AA17-AB17,0)/AA17)</f>
        <v/>
      </c>
      <c r="AD17" s="128" t="n"/>
      <c r="AE17" s="128" t="n"/>
      <c r="AF17" s="117">
        <f>IF(OR(A17="",AD17=0),"",MAX(AD17-AE17,0)/AD17)</f>
        <v/>
      </c>
      <c r="AG17" s="54">
        <f>IF(A17="",0,(B17*40)+(C17*40))</f>
        <v/>
      </c>
      <c r="AH17" s="54">
        <f>IF(A17="",0,(B17*100)+(C17*0))</f>
        <v/>
      </c>
      <c r="AI17" s="54">
        <f>IF(A17="",0,(B17*10)+(C17*0))</f>
        <v/>
      </c>
      <c r="AJ17" s="54">
        <f>IF(A17="",0,(B17*50)+(C17*0))</f>
        <v/>
      </c>
      <c r="AK17" s="54">
        <f>IF(A17="",0,(B17*20)+(C17*0))</f>
        <v/>
      </c>
      <c r="AL17" s="54">
        <f>IF(A17="",0,(B17*60)+(C17*0))</f>
        <v/>
      </c>
      <c r="AM17" s="54">
        <f>IF(A17="",0,(B17*4)+(C17*4))</f>
        <v/>
      </c>
      <c r="AN17" s="54">
        <f>IF(A17="",0,(B17*4)+(C17*4))</f>
        <v/>
      </c>
      <c r="AO17" s="54">
        <f>IF(A17="",0,(B17*6)+(C17*0))</f>
        <v/>
      </c>
      <c r="AP17" s="54">
        <f>IF(A17="",0,(B17*4)+(C17*10))</f>
        <v/>
      </c>
      <c r="AQ17" s="54">
        <f>IF(A17="",0,(B17*65)+(C17*80))</f>
        <v/>
      </c>
      <c r="AR17" s="54">
        <f>IF(A17="",0,(B17*0)+(C17*5))</f>
        <v/>
      </c>
      <c r="AS17" s="54">
        <f>IF(A17="",0,(B17*0)+(C17*50))</f>
        <v/>
      </c>
      <c r="AT17" s="54">
        <f>IF(A17="",0,(G17*25.51+N17*30+S17*7.5)/1000)</f>
        <v/>
      </c>
      <c r="AU17" s="54">
        <f>IF(A17="",0,(H17*21.74+V17*7.5)/1000)</f>
        <v/>
      </c>
      <c r="AV17" s="54">
        <f>IF(A17="",0,(G17*0.71)/1000)</f>
        <v/>
      </c>
      <c r="AW17" s="54">
        <f>IF(A17="",0,(AB17*5)/1000)</f>
        <v/>
      </c>
      <c r="AX17" s="54">
        <f>IF(A17="",0,(Y17*7)/1000)</f>
        <v/>
      </c>
      <c r="AY17" s="54">
        <f>IF(A17="",0,(AE17*7)/1000)</f>
        <v/>
      </c>
      <c r="AZ17" s="54">
        <f>IF(A17="",0,ROUNDUP((H17+N17)/115,0)*1.5)</f>
        <v/>
      </c>
      <c r="BA17" s="54">
        <f>IF(A17="",0,ROUNDUP((H17+N17)/115,0)*20)</f>
        <v/>
      </c>
      <c r="BB17" s="54">
        <f>IF(A17="",0,ROUNDUP((H17+N17)/115,0)*80)</f>
        <v/>
      </c>
      <c r="BC17" s="54">
        <f>IF(A17="",0,ROUNDUP((H17+N17)/115,0)*5)</f>
        <v/>
      </c>
      <c r="BD17" s="54">
        <f>IF(A17="",0,ROUNDUP((H17+N17)/115,0)*2.5)</f>
        <v/>
      </c>
    </row>
    <row r="18">
      <c r="A18" s="127" t="n"/>
      <c r="B18" s="128" t="n"/>
      <c r="C18" s="128" t="n"/>
      <c r="D18" s="116">
        <f>IF(A18="","",B18*1508)</f>
        <v/>
      </c>
      <c r="E18" s="128" t="n"/>
      <c r="F18" s="128" t="n"/>
      <c r="G18" s="128" t="n"/>
      <c r="H18" s="128" t="n"/>
      <c r="I18" s="116">
        <f>IF(A18="","",MAX((E18/2)-G18,0))</f>
        <v/>
      </c>
      <c r="J18" s="117">
        <f>IF(OR(A18="",E18=0),"",I18/(E18/2))</f>
        <v/>
      </c>
      <c r="K18" s="116">
        <f>IF(A18="","",MAX((F18/2)-H18,0))</f>
        <v/>
      </c>
      <c r="L18" s="117">
        <f>IF(OR(A18="",F18=0),"",K18/(F18/2))</f>
        <v/>
      </c>
      <c r="M18" s="128" t="n"/>
      <c r="N18" s="128" t="n"/>
      <c r="O18" s="116">
        <f>IF(A18="","",MAX((M18/3)-N18,0))</f>
        <v/>
      </c>
      <c r="P18" s="117">
        <f>IF(OR(A18="",M18=0),"",O18/(M18/3))</f>
        <v/>
      </c>
      <c r="Q18" s="116">
        <f>IF(A18="","",C18*1508)</f>
        <v/>
      </c>
      <c r="R18" s="128" t="n"/>
      <c r="S18" s="128" t="n"/>
      <c r="T18" s="117">
        <f>IF(OR(A18="",R18=0),"",MAX(R18-S18,0)/R18)</f>
        <v/>
      </c>
      <c r="U18" s="128" t="n"/>
      <c r="V18" s="128" t="n"/>
      <c r="W18" s="117">
        <f>IF(OR(A18="",U18=0),"",MAX(U18-V18,0)/U18)</f>
        <v/>
      </c>
      <c r="X18" s="128" t="n"/>
      <c r="Y18" s="128" t="n"/>
      <c r="Z18" s="117">
        <f>IF(OR(A18="",X18=0),"",MAX(X18-Y18,0)/X18)</f>
        <v/>
      </c>
      <c r="AA18" s="128" t="n"/>
      <c r="AB18" s="128" t="n"/>
      <c r="AC18" s="117">
        <f>IF(OR(A18="",AA18=0),"",MAX(AA18-AB18,0)/AA18)</f>
        <v/>
      </c>
      <c r="AD18" s="128" t="n"/>
      <c r="AE18" s="128" t="n"/>
      <c r="AF18" s="117">
        <f>IF(OR(A18="",AD18=0),"",MAX(AD18-AE18,0)/AD18)</f>
        <v/>
      </c>
      <c r="AG18" s="54">
        <f>IF(A18="",0,(B18*40)+(C18*40))</f>
        <v/>
      </c>
      <c r="AH18" s="54">
        <f>IF(A18="",0,(B18*100)+(C18*0))</f>
        <v/>
      </c>
      <c r="AI18" s="54">
        <f>IF(A18="",0,(B18*10)+(C18*0))</f>
        <v/>
      </c>
      <c r="AJ18" s="54">
        <f>IF(A18="",0,(B18*50)+(C18*0))</f>
        <v/>
      </c>
      <c r="AK18" s="54">
        <f>IF(A18="",0,(B18*20)+(C18*0))</f>
        <v/>
      </c>
      <c r="AL18" s="54">
        <f>IF(A18="",0,(B18*60)+(C18*0))</f>
        <v/>
      </c>
      <c r="AM18" s="54">
        <f>IF(A18="",0,(B18*4)+(C18*4))</f>
        <v/>
      </c>
      <c r="AN18" s="54">
        <f>IF(A18="",0,(B18*4)+(C18*4))</f>
        <v/>
      </c>
      <c r="AO18" s="54">
        <f>IF(A18="",0,(B18*6)+(C18*0))</f>
        <v/>
      </c>
      <c r="AP18" s="54">
        <f>IF(A18="",0,(B18*4)+(C18*10))</f>
        <v/>
      </c>
      <c r="AQ18" s="54">
        <f>IF(A18="",0,(B18*65)+(C18*80))</f>
        <v/>
      </c>
      <c r="AR18" s="54">
        <f>IF(A18="",0,(B18*0)+(C18*5))</f>
        <v/>
      </c>
      <c r="AS18" s="54">
        <f>IF(A18="",0,(B18*0)+(C18*50))</f>
        <v/>
      </c>
      <c r="AT18" s="54">
        <f>IF(A18="",0,(G18*25.51+N18*30+S18*7.5)/1000)</f>
        <v/>
      </c>
      <c r="AU18" s="54">
        <f>IF(A18="",0,(H18*21.74+V18*7.5)/1000)</f>
        <v/>
      </c>
      <c r="AV18" s="54">
        <f>IF(A18="",0,(G18*0.71)/1000)</f>
        <v/>
      </c>
      <c r="AW18" s="54">
        <f>IF(A18="",0,(AB18*5)/1000)</f>
        <v/>
      </c>
      <c r="AX18" s="54">
        <f>IF(A18="",0,(Y18*7)/1000)</f>
        <v/>
      </c>
      <c r="AY18" s="54">
        <f>IF(A18="",0,(AE18*7)/1000)</f>
        <v/>
      </c>
      <c r="AZ18" s="54">
        <f>IF(A18="",0,ROUNDUP((H18+N18)/115,0)*1.5)</f>
        <v/>
      </c>
      <c r="BA18" s="54">
        <f>IF(A18="",0,ROUNDUP((H18+N18)/115,0)*20)</f>
        <v/>
      </c>
      <c r="BB18" s="54">
        <f>IF(A18="",0,ROUNDUP((H18+N18)/115,0)*80)</f>
        <v/>
      </c>
      <c r="BC18" s="54">
        <f>IF(A18="",0,ROUNDUP((H18+N18)/115,0)*5)</f>
        <v/>
      </c>
      <c r="BD18" s="54">
        <f>IF(A18="",0,ROUNDUP((H18+N18)/115,0)*2.5)</f>
        <v/>
      </c>
    </row>
    <row r="19">
      <c r="A19" s="127" t="n"/>
      <c r="B19" s="128" t="n"/>
      <c r="C19" s="128" t="n"/>
      <c r="D19" s="116">
        <f>IF(A19="","",B19*1508)</f>
        <v/>
      </c>
      <c r="E19" s="128" t="n"/>
      <c r="F19" s="128" t="n"/>
      <c r="G19" s="128" t="n"/>
      <c r="H19" s="128" t="n"/>
      <c r="I19" s="116">
        <f>IF(A19="","",MAX((E19/2)-G19,0))</f>
        <v/>
      </c>
      <c r="J19" s="117">
        <f>IF(OR(A19="",E19=0),"",I19/(E19/2))</f>
        <v/>
      </c>
      <c r="K19" s="116">
        <f>IF(A19="","",MAX((F19/2)-H19,0))</f>
        <v/>
      </c>
      <c r="L19" s="117">
        <f>IF(OR(A19="",F19=0),"",K19/(F19/2))</f>
        <v/>
      </c>
      <c r="M19" s="128" t="n"/>
      <c r="N19" s="128" t="n"/>
      <c r="O19" s="116">
        <f>IF(A19="","",MAX((M19/3)-N19,0))</f>
        <v/>
      </c>
      <c r="P19" s="117">
        <f>IF(OR(A19="",M19=0),"",O19/(M19/3))</f>
        <v/>
      </c>
      <c r="Q19" s="116">
        <f>IF(A19="","",C19*1508)</f>
        <v/>
      </c>
      <c r="R19" s="128" t="n"/>
      <c r="S19" s="128" t="n"/>
      <c r="T19" s="117">
        <f>IF(OR(A19="",R19=0),"",MAX(R19-S19,0)/R19)</f>
        <v/>
      </c>
      <c r="U19" s="128" t="n"/>
      <c r="V19" s="128" t="n"/>
      <c r="W19" s="117">
        <f>IF(OR(A19="",U19=0),"",MAX(U19-V19,0)/U19)</f>
        <v/>
      </c>
      <c r="X19" s="128" t="n"/>
      <c r="Y19" s="128" t="n"/>
      <c r="Z19" s="117">
        <f>IF(OR(A19="",X19=0),"",MAX(X19-Y19,0)/X19)</f>
        <v/>
      </c>
      <c r="AA19" s="128" t="n"/>
      <c r="AB19" s="128" t="n"/>
      <c r="AC19" s="117">
        <f>IF(OR(A19="",AA19=0),"",MAX(AA19-AB19,0)/AA19)</f>
        <v/>
      </c>
      <c r="AD19" s="128" t="n"/>
      <c r="AE19" s="128" t="n"/>
      <c r="AF19" s="117">
        <f>IF(OR(A19="",AD19=0),"",MAX(AD19-AE19,0)/AD19)</f>
        <v/>
      </c>
      <c r="AG19" s="54">
        <f>IF(A19="",0,(B19*40)+(C19*40))</f>
        <v/>
      </c>
      <c r="AH19" s="54">
        <f>IF(A19="",0,(B19*100)+(C19*0))</f>
        <v/>
      </c>
      <c r="AI19" s="54">
        <f>IF(A19="",0,(B19*10)+(C19*0))</f>
        <v/>
      </c>
      <c r="AJ19" s="54">
        <f>IF(A19="",0,(B19*50)+(C19*0))</f>
        <v/>
      </c>
      <c r="AK19" s="54">
        <f>IF(A19="",0,(B19*20)+(C19*0))</f>
        <v/>
      </c>
      <c r="AL19" s="54">
        <f>IF(A19="",0,(B19*60)+(C19*0))</f>
        <v/>
      </c>
      <c r="AM19" s="54">
        <f>IF(A19="",0,(B19*4)+(C19*4))</f>
        <v/>
      </c>
      <c r="AN19" s="54">
        <f>IF(A19="",0,(B19*4)+(C19*4))</f>
        <v/>
      </c>
      <c r="AO19" s="54">
        <f>IF(A19="",0,(B19*6)+(C19*0))</f>
        <v/>
      </c>
      <c r="AP19" s="54">
        <f>IF(A19="",0,(B19*4)+(C19*10))</f>
        <v/>
      </c>
      <c r="AQ19" s="54">
        <f>IF(A19="",0,(B19*65)+(C19*80))</f>
        <v/>
      </c>
      <c r="AR19" s="54">
        <f>IF(A19="",0,(B19*0)+(C19*5))</f>
        <v/>
      </c>
      <c r="AS19" s="54">
        <f>IF(A19="",0,(B19*0)+(C19*50))</f>
        <v/>
      </c>
      <c r="AT19" s="54">
        <f>IF(A19="",0,(G19*25.51+N19*30+S19*7.5)/1000)</f>
        <v/>
      </c>
      <c r="AU19" s="54">
        <f>IF(A19="",0,(H19*21.74+V19*7.5)/1000)</f>
        <v/>
      </c>
      <c r="AV19" s="54">
        <f>IF(A19="",0,(G19*0.71)/1000)</f>
        <v/>
      </c>
      <c r="AW19" s="54">
        <f>IF(A19="",0,(AB19*5)/1000)</f>
        <v/>
      </c>
      <c r="AX19" s="54">
        <f>IF(A19="",0,(Y19*7)/1000)</f>
        <v/>
      </c>
      <c r="AY19" s="54">
        <f>IF(A19="",0,(AE19*7)/1000)</f>
        <v/>
      </c>
      <c r="AZ19" s="54">
        <f>IF(A19="",0,ROUNDUP((H19+N19)/115,0)*1.5)</f>
        <v/>
      </c>
      <c r="BA19" s="54">
        <f>IF(A19="",0,ROUNDUP((H19+N19)/115,0)*20)</f>
        <v/>
      </c>
      <c r="BB19" s="54">
        <f>IF(A19="",0,ROUNDUP((H19+N19)/115,0)*80)</f>
        <v/>
      </c>
      <c r="BC19" s="54">
        <f>IF(A19="",0,ROUNDUP((H19+N19)/115,0)*5)</f>
        <v/>
      </c>
      <c r="BD19" s="54">
        <f>IF(A19="",0,ROUNDUP((H19+N19)/115,0)*2.5)</f>
        <v/>
      </c>
    </row>
    <row r="20">
      <c r="A20" s="127" t="n"/>
      <c r="B20" s="128" t="n"/>
      <c r="C20" s="128" t="n"/>
      <c r="D20" s="116">
        <f>IF(A20="","",B20*1508)</f>
        <v/>
      </c>
      <c r="E20" s="128" t="n"/>
      <c r="F20" s="128" t="n"/>
      <c r="G20" s="128" t="n"/>
      <c r="H20" s="128" t="n"/>
      <c r="I20" s="116">
        <f>IF(A20="","",MAX((E20/2)-G20,0))</f>
        <v/>
      </c>
      <c r="J20" s="117">
        <f>IF(OR(A20="",E20=0),"",I20/(E20/2))</f>
        <v/>
      </c>
      <c r="K20" s="116">
        <f>IF(A20="","",MAX((F20/2)-H20,0))</f>
        <v/>
      </c>
      <c r="L20" s="117">
        <f>IF(OR(A20="",F20=0),"",K20/(F20/2))</f>
        <v/>
      </c>
      <c r="M20" s="128" t="n"/>
      <c r="N20" s="128" t="n"/>
      <c r="O20" s="116">
        <f>IF(A20="","",MAX((M20/3)-N20,0))</f>
        <v/>
      </c>
      <c r="P20" s="117">
        <f>IF(OR(A20="",M20=0),"",O20/(M20/3))</f>
        <v/>
      </c>
      <c r="Q20" s="116">
        <f>IF(A20="","",C20*1508)</f>
        <v/>
      </c>
      <c r="R20" s="128" t="n"/>
      <c r="S20" s="128" t="n"/>
      <c r="T20" s="117">
        <f>IF(OR(A20="",R20=0),"",MAX(R20-S20,0)/R20)</f>
        <v/>
      </c>
      <c r="U20" s="128" t="n"/>
      <c r="V20" s="128" t="n"/>
      <c r="W20" s="117">
        <f>IF(OR(A20="",U20=0),"",MAX(U20-V20,0)/U20)</f>
        <v/>
      </c>
      <c r="X20" s="128" t="n"/>
      <c r="Y20" s="128" t="n"/>
      <c r="Z20" s="117">
        <f>IF(OR(A20="",X20=0),"",MAX(X20-Y20,0)/X20)</f>
        <v/>
      </c>
      <c r="AA20" s="128" t="n"/>
      <c r="AB20" s="128" t="n"/>
      <c r="AC20" s="117">
        <f>IF(OR(A20="",AA20=0),"",MAX(AA20-AB20,0)/AA20)</f>
        <v/>
      </c>
      <c r="AD20" s="128" t="n"/>
      <c r="AE20" s="128" t="n"/>
      <c r="AF20" s="117">
        <f>IF(OR(A20="",AD20=0),"",MAX(AD20-AE20,0)/AD20)</f>
        <v/>
      </c>
      <c r="AG20" s="54">
        <f>IF(A20="",0,(B20*40)+(C20*40))</f>
        <v/>
      </c>
      <c r="AH20" s="54">
        <f>IF(A20="",0,(B20*100)+(C20*0))</f>
        <v/>
      </c>
      <c r="AI20" s="54">
        <f>IF(A20="",0,(B20*10)+(C20*0))</f>
        <v/>
      </c>
      <c r="AJ20" s="54">
        <f>IF(A20="",0,(B20*50)+(C20*0))</f>
        <v/>
      </c>
      <c r="AK20" s="54">
        <f>IF(A20="",0,(B20*20)+(C20*0))</f>
        <v/>
      </c>
      <c r="AL20" s="54">
        <f>IF(A20="",0,(B20*60)+(C20*0))</f>
        <v/>
      </c>
      <c r="AM20" s="54">
        <f>IF(A20="",0,(B20*4)+(C20*4))</f>
        <v/>
      </c>
      <c r="AN20" s="54">
        <f>IF(A20="",0,(B20*4)+(C20*4))</f>
        <v/>
      </c>
      <c r="AO20" s="54">
        <f>IF(A20="",0,(B20*6)+(C20*0))</f>
        <v/>
      </c>
      <c r="AP20" s="54">
        <f>IF(A20="",0,(B20*4)+(C20*10))</f>
        <v/>
      </c>
      <c r="AQ20" s="54">
        <f>IF(A20="",0,(B20*65)+(C20*80))</f>
        <v/>
      </c>
      <c r="AR20" s="54">
        <f>IF(A20="",0,(B20*0)+(C20*5))</f>
        <v/>
      </c>
      <c r="AS20" s="54">
        <f>IF(A20="",0,(B20*0)+(C20*50))</f>
        <v/>
      </c>
      <c r="AT20" s="54">
        <f>IF(A20="",0,(G20*25.51+N20*30+S20*7.5)/1000)</f>
        <v/>
      </c>
      <c r="AU20" s="54">
        <f>IF(A20="",0,(H20*21.74+V20*7.5)/1000)</f>
        <v/>
      </c>
      <c r="AV20" s="54">
        <f>IF(A20="",0,(G20*0.71)/1000)</f>
        <v/>
      </c>
      <c r="AW20" s="54">
        <f>IF(A20="",0,(AB20*5)/1000)</f>
        <v/>
      </c>
      <c r="AX20" s="54">
        <f>IF(A20="",0,(Y20*7)/1000)</f>
        <v/>
      </c>
      <c r="AY20" s="54">
        <f>IF(A20="",0,(AE20*7)/1000)</f>
        <v/>
      </c>
      <c r="AZ20" s="54">
        <f>IF(A20="",0,ROUNDUP((H20+N20)/115,0)*1.5)</f>
        <v/>
      </c>
      <c r="BA20" s="54">
        <f>IF(A20="",0,ROUNDUP((H20+N20)/115,0)*20)</f>
        <v/>
      </c>
      <c r="BB20" s="54">
        <f>IF(A20="",0,ROUNDUP((H20+N20)/115,0)*80)</f>
        <v/>
      </c>
      <c r="BC20" s="54">
        <f>IF(A20="",0,ROUNDUP((H20+N20)/115,0)*5)</f>
        <v/>
      </c>
      <c r="BD20" s="54">
        <f>IF(A20="",0,ROUNDUP((H20+N20)/115,0)*2.5)</f>
        <v/>
      </c>
    </row>
    <row r="21">
      <c r="A21" s="127" t="n"/>
      <c r="B21" s="128" t="n"/>
      <c r="C21" s="128" t="n"/>
      <c r="D21" s="116">
        <f>IF(A21="","",B21*1508)</f>
        <v/>
      </c>
      <c r="E21" s="128" t="n"/>
      <c r="F21" s="128" t="n"/>
      <c r="G21" s="128" t="n"/>
      <c r="H21" s="128" t="n"/>
      <c r="I21" s="116">
        <f>IF(A21="","",MAX((E21/2)-G21,0))</f>
        <v/>
      </c>
      <c r="J21" s="117">
        <f>IF(OR(A21="",E21=0),"",I21/(E21/2))</f>
        <v/>
      </c>
      <c r="K21" s="116">
        <f>IF(A21="","",MAX((F21/2)-H21,0))</f>
        <v/>
      </c>
      <c r="L21" s="117">
        <f>IF(OR(A21="",F21=0),"",K21/(F21/2))</f>
        <v/>
      </c>
      <c r="M21" s="128" t="n"/>
      <c r="N21" s="128" t="n"/>
      <c r="O21" s="116">
        <f>IF(A21="","",MAX((M21/3)-N21,0))</f>
        <v/>
      </c>
      <c r="P21" s="117">
        <f>IF(OR(A21="",M21=0),"",O21/(M21/3))</f>
        <v/>
      </c>
      <c r="Q21" s="116">
        <f>IF(A21="","",C21*1508)</f>
        <v/>
      </c>
      <c r="R21" s="128" t="n"/>
      <c r="S21" s="128" t="n"/>
      <c r="T21" s="117">
        <f>IF(OR(A21="",R21=0),"",MAX(R21-S21,0)/R21)</f>
        <v/>
      </c>
      <c r="U21" s="128" t="n"/>
      <c r="V21" s="128" t="n"/>
      <c r="W21" s="117">
        <f>IF(OR(A21="",U21=0),"",MAX(U21-V21,0)/U21)</f>
        <v/>
      </c>
      <c r="X21" s="128" t="n"/>
      <c r="Y21" s="128" t="n"/>
      <c r="Z21" s="117">
        <f>IF(OR(A21="",X21=0),"",MAX(X21-Y21,0)/X21)</f>
        <v/>
      </c>
      <c r="AA21" s="128" t="n"/>
      <c r="AB21" s="128" t="n"/>
      <c r="AC21" s="117">
        <f>IF(OR(A21="",AA21=0),"",MAX(AA21-AB21,0)/AA21)</f>
        <v/>
      </c>
      <c r="AD21" s="128" t="n"/>
      <c r="AE21" s="128" t="n"/>
      <c r="AF21" s="117">
        <f>IF(OR(A21="",AD21=0),"",MAX(AD21-AE21,0)/AD21)</f>
        <v/>
      </c>
      <c r="AG21" s="54">
        <f>IF(A21="",0,(B21*40)+(C21*40))</f>
        <v/>
      </c>
      <c r="AH21" s="54">
        <f>IF(A21="",0,(B21*100)+(C21*0))</f>
        <v/>
      </c>
      <c r="AI21" s="54">
        <f>IF(A21="",0,(B21*10)+(C21*0))</f>
        <v/>
      </c>
      <c r="AJ21" s="54">
        <f>IF(A21="",0,(B21*50)+(C21*0))</f>
        <v/>
      </c>
      <c r="AK21" s="54">
        <f>IF(A21="",0,(B21*20)+(C21*0))</f>
        <v/>
      </c>
      <c r="AL21" s="54">
        <f>IF(A21="",0,(B21*60)+(C21*0))</f>
        <v/>
      </c>
      <c r="AM21" s="54">
        <f>IF(A21="",0,(B21*4)+(C21*4))</f>
        <v/>
      </c>
      <c r="AN21" s="54">
        <f>IF(A21="",0,(B21*4)+(C21*4))</f>
        <v/>
      </c>
      <c r="AO21" s="54">
        <f>IF(A21="",0,(B21*6)+(C21*0))</f>
        <v/>
      </c>
      <c r="AP21" s="54">
        <f>IF(A21="",0,(B21*4)+(C21*10))</f>
        <v/>
      </c>
      <c r="AQ21" s="54">
        <f>IF(A21="",0,(B21*65)+(C21*80))</f>
        <v/>
      </c>
      <c r="AR21" s="54">
        <f>IF(A21="",0,(B21*0)+(C21*5))</f>
        <v/>
      </c>
      <c r="AS21" s="54">
        <f>IF(A21="",0,(B21*0)+(C21*50))</f>
        <v/>
      </c>
      <c r="AT21" s="54">
        <f>IF(A21="",0,(G21*25.51+N21*30+S21*7.5)/1000)</f>
        <v/>
      </c>
      <c r="AU21" s="54">
        <f>IF(A21="",0,(H21*21.74+V21*7.5)/1000)</f>
        <v/>
      </c>
      <c r="AV21" s="54">
        <f>IF(A21="",0,(G21*0.71)/1000)</f>
        <v/>
      </c>
      <c r="AW21" s="54">
        <f>IF(A21="",0,(AB21*5)/1000)</f>
        <v/>
      </c>
      <c r="AX21" s="54">
        <f>IF(A21="",0,(Y21*7)/1000)</f>
        <v/>
      </c>
      <c r="AY21" s="54">
        <f>IF(A21="",0,(AE21*7)/1000)</f>
        <v/>
      </c>
      <c r="AZ21" s="54">
        <f>IF(A21="",0,ROUNDUP((H21+N21)/115,0)*1.5)</f>
        <v/>
      </c>
      <c r="BA21" s="54">
        <f>IF(A21="",0,ROUNDUP((H21+N21)/115,0)*20)</f>
        <v/>
      </c>
      <c r="BB21" s="54">
        <f>IF(A21="",0,ROUNDUP((H21+N21)/115,0)*80)</f>
        <v/>
      </c>
      <c r="BC21" s="54">
        <f>IF(A21="",0,ROUNDUP((H21+N21)/115,0)*5)</f>
        <v/>
      </c>
      <c r="BD21" s="54">
        <f>IF(A21="",0,ROUNDUP((H21+N21)/115,0)*2.5)</f>
        <v/>
      </c>
    </row>
    <row r="22">
      <c r="A22" s="127" t="n"/>
      <c r="B22" s="128" t="n"/>
      <c r="C22" s="128" t="n"/>
      <c r="D22" s="116">
        <f>IF(A22="","",B22*1508)</f>
        <v/>
      </c>
      <c r="E22" s="128" t="n"/>
      <c r="F22" s="128" t="n"/>
      <c r="G22" s="128" t="n"/>
      <c r="H22" s="128" t="n"/>
      <c r="I22" s="116">
        <f>IF(A22="","",MAX((E22/2)-G22,0))</f>
        <v/>
      </c>
      <c r="J22" s="117">
        <f>IF(OR(A22="",E22=0),"",I22/(E22/2))</f>
        <v/>
      </c>
      <c r="K22" s="116">
        <f>IF(A22="","",MAX((F22/2)-H22,0))</f>
        <v/>
      </c>
      <c r="L22" s="117">
        <f>IF(OR(A22="",F22=0),"",K22/(F22/2))</f>
        <v/>
      </c>
      <c r="M22" s="128" t="n"/>
      <c r="N22" s="128" t="n"/>
      <c r="O22" s="116">
        <f>IF(A22="","",MAX((M22/3)-N22,0))</f>
        <v/>
      </c>
      <c r="P22" s="117">
        <f>IF(OR(A22="",M22=0),"",O22/(M22/3))</f>
        <v/>
      </c>
      <c r="Q22" s="116">
        <f>IF(A22="","",C22*1508)</f>
        <v/>
      </c>
      <c r="R22" s="128" t="n"/>
      <c r="S22" s="128" t="n"/>
      <c r="T22" s="117">
        <f>IF(OR(A22="",R22=0),"",MAX(R22-S22,0)/R22)</f>
        <v/>
      </c>
      <c r="U22" s="128" t="n"/>
      <c r="V22" s="128" t="n"/>
      <c r="W22" s="117">
        <f>IF(OR(A22="",U22=0),"",MAX(U22-V22,0)/U22)</f>
        <v/>
      </c>
      <c r="X22" s="128" t="n"/>
      <c r="Y22" s="128" t="n"/>
      <c r="Z22" s="117">
        <f>IF(OR(A22="",X22=0),"",MAX(X22-Y22,0)/X22)</f>
        <v/>
      </c>
      <c r="AA22" s="128" t="n"/>
      <c r="AB22" s="128" t="n"/>
      <c r="AC22" s="117">
        <f>IF(OR(A22="",AA22=0),"",MAX(AA22-AB22,0)/AA22)</f>
        <v/>
      </c>
      <c r="AD22" s="128" t="n"/>
      <c r="AE22" s="128" t="n"/>
      <c r="AF22" s="117">
        <f>IF(OR(A22="",AD22=0),"",MAX(AD22-AE22,0)/AD22)</f>
        <v/>
      </c>
      <c r="AG22" s="54">
        <f>IF(A22="",0,(B22*40)+(C22*40))</f>
        <v/>
      </c>
      <c r="AH22" s="54">
        <f>IF(A22="",0,(B22*100)+(C22*0))</f>
        <v/>
      </c>
      <c r="AI22" s="54">
        <f>IF(A22="",0,(B22*10)+(C22*0))</f>
        <v/>
      </c>
      <c r="AJ22" s="54">
        <f>IF(A22="",0,(B22*50)+(C22*0))</f>
        <v/>
      </c>
      <c r="AK22" s="54">
        <f>IF(A22="",0,(B22*20)+(C22*0))</f>
        <v/>
      </c>
      <c r="AL22" s="54">
        <f>IF(A22="",0,(B22*60)+(C22*0))</f>
        <v/>
      </c>
      <c r="AM22" s="54">
        <f>IF(A22="",0,(B22*4)+(C22*4))</f>
        <v/>
      </c>
      <c r="AN22" s="54">
        <f>IF(A22="",0,(B22*4)+(C22*4))</f>
        <v/>
      </c>
      <c r="AO22" s="54">
        <f>IF(A22="",0,(B22*6)+(C22*0))</f>
        <v/>
      </c>
      <c r="AP22" s="54">
        <f>IF(A22="",0,(B22*4)+(C22*10))</f>
        <v/>
      </c>
      <c r="AQ22" s="54">
        <f>IF(A22="",0,(B22*65)+(C22*80))</f>
        <v/>
      </c>
      <c r="AR22" s="54">
        <f>IF(A22="",0,(B22*0)+(C22*5))</f>
        <v/>
      </c>
      <c r="AS22" s="54">
        <f>IF(A22="",0,(B22*0)+(C22*50))</f>
        <v/>
      </c>
      <c r="AT22" s="54">
        <f>IF(A22="",0,(G22*25.51+N22*30+S22*7.5)/1000)</f>
        <v/>
      </c>
      <c r="AU22" s="54">
        <f>IF(A22="",0,(H22*21.74+V22*7.5)/1000)</f>
        <v/>
      </c>
      <c r="AV22" s="54">
        <f>IF(A22="",0,(G22*0.71)/1000)</f>
        <v/>
      </c>
      <c r="AW22" s="54">
        <f>IF(A22="",0,(AB22*5)/1000)</f>
        <v/>
      </c>
      <c r="AX22" s="54">
        <f>IF(A22="",0,(Y22*7)/1000)</f>
        <v/>
      </c>
      <c r="AY22" s="54">
        <f>IF(A22="",0,(AE22*7)/1000)</f>
        <v/>
      </c>
      <c r="AZ22" s="54">
        <f>IF(A22="",0,ROUNDUP((H22+N22)/115,0)*1.5)</f>
        <v/>
      </c>
      <c r="BA22" s="54">
        <f>IF(A22="",0,ROUNDUP((H22+N22)/115,0)*20)</f>
        <v/>
      </c>
      <c r="BB22" s="54">
        <f>IF(A22="",0,ROUNDUP((H22+N22)/115,0)*80)</f>
        <v/>
      </c>
      <c r="BC22" s="54">
        <f>IF(A22="",0,ROUNDUP((H22+N22)/115,0)*5)</f>
        <v/>
      </c>
      <c r="BD22" s="54">
        <f>IF(A22="",0,ROUNDUP((H22+N22)/115,0)*2.5)</f>
        <v/>
      </c>
    </row>
    <row r="23">
      <c r="A23" s="127" t="n"/>
      <c r="B23" s="128" t="n"/>
      <c r="C23" s="128" t="n"/>
      <c r="D23" s="116">
        <f>IF(A23="","",B23*1508)</f>
        <v/>
      </c>
      <c r="E23" s="128" t="n"/>
      <c r="F23" s="128" t="n"/>
      <c r="G23" s="128" t="n"/>
      <c r="H23" s="128" t="n"/>
      <c r="I23" s="116">
        <f>IF(A23="","",MAX((E23/2)-G23,0))</f>
        <v/>
      </c>
      <c r="J23" s="117">
        <f>IF(OR(A23="",E23=0),"",I23/(E23/2))</f>
        <v/>
      </c>
      <c r="K23" s="116">
        <f>IF(A23="","",MAX((F23/2)-H23,0))</f>
        <v/>
      </c>
      <c r="L23" s="117">
        <f>IF(OR(A23="",F23=0),"",K23/(F23/2))</f>
        <v/>
      </c>
      <c r="M23" s="128" t="n"/>
      <c r="N23" s="128" t="n"/>
      <c r="O23" s="116">
        <f>IF(A23="","",MAX((M23/3)-N23,0))</f>
        <v/>
      </c>
      <c r="P23" s="117">
        <f>IF(OR(A23="",M23=0),"",O23/(M23/3))</f>
        <v/>
      </c>
      <c r="Q23" s="116">
        <f>IF(A23="","",C23*1508)</f>
        <v/>
      </c>
      <c r="R23" s="128" t="n"/>
      <c r="S23" s="128" t="n"/>
      <c r="T23" s="117">
        <f>IF(OR(A23="",R23=0),"",MAX(R23-S23,0)/R23)</f>
        <v/>
      </c>
      <c r="U23" s="128" t="n"/>
      <c r="V23" s="128" t="n"/>
      <c r="W23" s="117">
        <f>IF(OR(A23="",U23=0),"",MAX(U23-V23,0)/U23)</f>
        <v/>
      </c>
      <c r="X23" s="128" t="n"/>
      <c r="Y23" s="128" t="n"/>
      <c r="Z23" s="117">
        <f>IF(OR(A23="",X23=0),"",MAX(X23-Y23,0)/X23)</f>
        <v/>
      </c>
      <c r="AA23" s="128" t="n"/>
      <c r="AB23" s="128" t="n"/>
      <c r="AC23" s="117">
        <f>IF(OR(A23="",AA23=0),"",MAX(AA23-AB23,0)/AA23)</f>
        <v/>
      </c>
      <c r="AD23" s="128" t="n"/>
      <c r="AE23" s="128" t="n"/>
      <c r="AF23" s="117">
        <f>IF(OR(A23="",AD23=0),"",MAX(AD23-AE23,0)/AD23)</f>
        <v/>
      </c>
      <c r="AG23" s="54">
        <f>IF(A23="",0,(B23*40)+(C23*40))</f>
        <v/>
      </c>
      <c r="AH23" s="54">
        <f>IF(A23="",0,(B23*100)+(C23*0))</f>
        <v/>
      </c>
      <c r="AI23" s="54">
        <f>IF(A23="",0,(B23*10)+(C23*0))</f>
        <v/>
      </c>
      <c r="AJ23" s="54">
        <f>IF(A23="",0,(B23*50)+(C23*0))</f>
        <v/>
      </c>
      <c r="AK23" s="54">
        <f>IF(A23="",0,(B23*20)+(C23*0))</f>
        <v/>
      </c>
      <c r="AL23" s="54">
        <f>IF(A23="",0,(B23*60)+(C23*0))</f>
        <v/>
      </c>
      <c r="AM23" s="54">
        <f>IF(A23="",0,(B23*4)+(C23*4))</f>
        <v/>
      </c>
      <c r="AN23" s="54">
        <f>IF(A23="",0,(B23*4)+(C23*4))</f>
        <v/>
      </c>
      <c r="AO23" s="54">
        <f>IF(A23="",0,(B23*6)+(C23*0))</f>
        <v/>
      </c>
      <c r="AP23" s="54">
        <f>IF(A23="",0,(B23*4)+(C23*10))</f>
        <v/>
      </c>
      <c r="AQ23" s="54">
        <f>IF(A23="",0,(B23*65)+(C23*80))</f>
        <v/>
      </c>
      <c r="AR23" s="54">
        <f>IF(A23="",0,(B23*0)+(C23*5))</f>
        <v/>
      </c>
      <c r="AS23" s="54">
        <f>IF(A23="",0,(B23*0)+(C23*50))</f>
        <v/>
      </c>
      <c r="AT23" s="54">
        <f>IF(A23="",0,(G23*25.51+N23*30+S23*7.5)/1000)</f>
        <v/>
      </c>
      <c r="AU23" s="54">
        <f>IF(A23="",0,(H23*21.74+V23*7.5)/1000)</f>
        <v/>
      </c>
      <c r="AV23" s="54">
        <f>IF(A23="",0,(G23*0.71)/1000)</f>
        <v/>
      </c>
      <c r="AW23" s="54">
        <f>IF(A23="",0,(AB23*5)/1000)</f>
        <v/>
      </c>
      <c r="AX23" s="54">
        <f>IF(A23="",0,(Y23*7)/1000)</f>
        <v/>
      </c>
      <c r="AY23" s="54">
        <f>IF(A23="",0,(AE23*7)/1000)</f>
        <v/>
      </c>
      <c r="AZ23" s="54">
        <f>IF(A23="",0,ROUNDUP((H23+N23)/115,0)*1.5)</f>
        <v/>
      </c>
      <c r="BA23" s="54">
        <f>IF(A23="",0,ROUNDUP((H23+N23)/115,0)*20)</f>
        <v/>
      </c>
      <c r="BB23" s="54">
        <f>IF(A23="",0,ROUNDUP((H23+N23)/115,0)*80)</f>
        <v/>
      </c>
      <c r="BC23" s="54">
        <f>IF(A23="",0,ROUNDUP((H23+N23)/115,0)*5)</f>
        <v/>
      </c>
      <c r="BD23" s="54">
        <f>IF(A23="",0,ROUNDUP((H23+N23)/115,0)*2.5)</f>
        <v/>
      </c>
    </row>
    <row r="24">
      <c r="A24" s="127" t="n"/>
      <c r="B24" s="128" t="n"/>
      <c r="C24" s="128" t="n"/>
      <c r="D24" s="116">
        <f>IF(A24="","",B24*1508)</f>
        <v/>
      </c>
      <c r="E24" s="128" t="n"/>
      <c r="F24" s="128" t="n"/>
      <c r="G24" s="128" t="n"/>
      <c r="H24" s="128" t="n"/>
      <c r="I24" s="116">
        <f>IF(A24="","",MAX((E24/2)-G24,0))</f>
        <v/>
      </c>
      <c r="J24" s="117">
        <f>IF(OR(A24="",E24=0),"",I24/(E24/2))</f>
        <v/>
      </c>
      <c r="K24" s="116">
        <f>IF(A24="","",MAX((F24/2)-H24,0))</f>
        <v/>
      </c>
      <c r="L24" s="117">
        <f>IF(OR(A24="",F24=0),"",K24/(F24/2))</f>
        <v/>
      </c>
      <c r="M24" s="128" t="n"/>
      <c r="N24" s="128" t="n"/>
      <c r="O24" s="116">
        <f>IF(A24="","",MAX((M24/3)-N24,0))</f>
        <v/>
      </c>
      <c r="P24" s="117">
        <f>IF(OR(A24="",M24=0),"",O24/(M24/3))</f>
        <v/>
      </c>
      <c r="Q24" s="116">
        <f>IF(A24="","",C24*1508)</f>
        <v/>
      </c>
      <c r="R24" s="128" t="n"/>
      <c r="S24" s="128" t="n"/>
      <c r="T24" s="117">
        <f>IF(OR(A24="",R24=0),"",MAX(R24-S24,0)/R24)</f>
        <v/>
      </c>
      <c r="U24" s="128" t="n"/>
      <c r="V24" s="128" t="n"/>
      <c r="W24" s="117">
        <f>IF(OR(A24="",U24=0),"",MAX(U24-V24,0)/U24)</f>
        <v/>
      </c>
      <c r="X24" s="128" t="n"/>
      <c r="Y24" s="128" t="n"/>
      <c r="Z24" s="117">
        <f>IF(OR(A24="",X24=0),"",MAX(X24-Y24,0)/X24)</f>
        <v/>
      </c>
      <c r="AA24" s="128" t="n"/>
      <c r="AB24" s="128" t="n"/>
      <c r="AC24" s="117">
        <f>IF(OR(A24="",AA24=0),"",MAX(AA24-AB24,0)/AA24)</f>
        <v/>
      </c>
      <c r="AD24" s="128" t="n"/>
      <c r="AE24" s="128" t="n"/>
      <c r="AF24" s="117">
        <f>IF(OR(A24="",AD24=0),"",MAX(AD24-AE24,0)/AD24)</f>
        <v/>
      </c>
      <c r="AG24" s="54">
        <f>IF(A24="",0,(B24*40)+(C24*40))</f>
        <v/>
      </c>
      <c r="AH24" s="54">
        <f>IF(A24="",0,(B24*100)+(C24*0))</f>
        <v/>
      </c>
      <c r="AI24" s="54">
        <f>IF(A24="",0,(B24*10)+(C24*0))</f>
        <v/>
      </c>
      <c r="AJ24" s="54">
        <f>IF(A24="",0,(B24*50)+(C24*0))</f>
        <v/>
      </c>
      <c r="AK24" s="54">
        <f>IF(A24="",0,(B24*20)+(C24*0))</f>
        <v/>
      </c>
      <c r="AL24" s="54">
        <f>IF(A24="",0,(B24*60)+(C24*0))</f>
        <v/>
      </c>
      <c r="AM24" s="54">
        <f>IF(A24="",0,(B24*4)+(C24*4))</f>
        <v/>
      </c>
      <c r="AN24" s="54">
        <f>IF(A24="",0,(B24*4)+(C24*4))</f>
        <v/>
      </c>
      <c r="AO24" s="54">
        <f>IF(A24="",0,(B24*6)+(C24*0))</f>
        <v/>
      </c>
      <c r="AP24" s="54">
        <f>IF(A24="",0,(B24*4)+(C24*10))</f>
        <v/>
      </c>
      <c r="AQ24" s="54">
        <f>IF(A24="",0,(B24*65)+(C24*80))</f>
        <v/>
      </c>
      <c r="AR24" s="54">
        <f>IF(A24="",0,(B24*0)+(C24*5))</f>
        <v/>
      </c>
      <c r="AS24" s="54">
        <f>IF(A24="",0,(B24*0)+(C24*50))</f>
        <v/>
      </c>
      <c r="AT24" s="54">
        <f>IF(A24="",0,(G24*25.51+N24*30+S24*7.5)/1000)</f>
        <v/>
      </c>
      <c r="AU24" s="54">
        <f>IF(A24="",0,(H24*21.74+V24*7.5)/1000)</f>
        <v/>
      </c>
      <c r="AV24" s="54">
        <f>IF(A24="",0,(G24*0.71)/1000)</f>
        <v/>
      </c>
      <c r="AW24" s="54">
        <f>IF(A24="",0,(AB24*5)/1000)</f>
        <v/>
      </c>
      <c r="AX24" s="54">
        <f>IF(A24="",0,(Y24*7)/1000)</f>
        <v/>
      </c>
      <c r="AY24" s="54">
        <f>IF(A24="",0,(AE24*7)/1000)</f>
        <v/>
      </c>
      <c r="AZ24" s="54">
        <f>IF(A24="",0,ROUNDUP((H24+N24)/115,0)*1.5)</f>
        <v/>
      </c>
      <c r="BA24" s="54">
        <f>IF(A24="",0,ROUNDUP((H24+N24)/115,0)*20)</f>
        <v/>
      </c>
      <c r="BB24" s="54">
        <f>IF(A24="",0,ROUNDUP((H24+N24)/115,0)*80)</f>
        <v/>
      </c>
      <c r="BC24" s="54">
        <f>IF(A24="",0,ROUNDUP((H24+N24)/115,0)*5)</f>
        <v/>
      </c>
      <c r="BD24" s="54">
        <f>IF(A24="",0,ROUNDUP((H24+N24)/115,0)*2.5)</f>
        <v/>
      </c>
    </row>
    <row r="25">
      <c r="A25" s="127" t="n"/>
      <c r="B25" s="128" t="n"/>
      <c r="C25" s="128" t="n"/>
      <c r="D25" s="116">
        <f>IF(A25="","",B25*1508)</f>
        <v/>
      </c>
      <c r="E25" s="128" t="n"/>
      <c r="F25" s="128" t="n"/>
      <c r="G25" s="128" t="n"/>
      <c r="H25" s="128" t="n"/>
      <c r="I25" s="116">
        <f>IF(A25="","",MAX((E25/2)-G25,0))</f>
        <v/>
      </c>
      <c r="J25" s="117">
        <f>IF(OR(A25="",E25=0),"",I25/(E25/2))</f>
        <v/>
      </c>
      <c r="K25" s="116">
        <f>IF(A25="","",MAX((F25/2)-H25,0))</f>
        <v/>
      </c>
      <c r="L25" s="117">
        <f>IF(OR(A25="",F25=0),"",K25/(F25/2))</f>
        <v/>
      </c>
      <c r="M25" s="128" t="n"/>
      <c r="N25" s="128" t="n"/>
      <c r="O25" s="116">
        <f>IF(A25="","",MAX((M25/3)-N25,0))</f>
        <v/>
      </c>
      <c r="P25" s="117">
        <f>IF(OR(A25="",M25=0),"",O25/(M25/3))</f>
        <v/>
      </c>
      <c r="Q25" s="116">
        <f>IF(A25="","",C25*1508)</f>
        <v/>
      </c>
      <c r="R25" s="128" t="n"/>
      <c r="S25" s="128" t="n"/>
      <c r="T25" s="117">
        <f>IF(OR(A25="",R25=0),"",MAX(R25-S25,0)/R25)</f>
        <v/>
      </c>
      <c r="U25" s="128" t="n"/>
      <c r="V25" s="128" t="n"/>
      <c r="W25" s="117">
        <f>IF(OR(A25="",U25=0),"",MAX(U25-V25,0)/U25)</f>
        <v/>
      </c>
      <c r="X25" s="128" t="n"/>
      <c r="Y25" s="128" t="n"/>
      <c r="Z25" s="117">
        <f>IF(OR(A25="",X25=0),"",MAX(X25-Y25,0)/X25)</f>
        <v/>
      </c>
      <c r="AA25" s="128" t="n"/>
      <c r="AB25" s="128" t="n"/>
      <c r="AC25" s="117">
        <f>IF(OR(A25="",AA25=0),"",MAX(AA25-AB25,0)/AA25)</f>
        <v/>
      </c>
      <c r="AD25" s="128" t="n"/>
      <c r="AE25" s="128" t="n"/>
      <c r="AF25" s="117">
        <f>IF(OR(A25="",AD25=0),"",MAX(AD25-AE25,0)/AD25)</f>
        <v/>
      </c>
      <c r="AG25" s="54">
        <f>IF(A25="",0,(B25*40)+(C25*40))</f>
        <v/>
      </c>
      <c r="AH25" s="54">
        <f>IF(A25="",0,(B25*100)+(C25*0))</f>
        <v/>
      </c>
      <c r="AI25" s="54">
        <f>IF(A25="",0,(B25*10)+(C25*0))</f>
        <v/>
      </c>
      <c r="AJ25" s="54">
        <f>IF(A25="",0,(B25*50)+(C25*0))</f>
        <v/>
      </c>
      <c r="AK25" s="54">
        <f>IF(A25="",0,(B25*20)+(C25*0))</f>
        <v/>
      </c>
      <c r="AL25" s="54">
        <f>IF(A25="",0,(B25*60)+(C25*0))</f>
        <v/>
      </c>
      <c r="AM25" s="54">
        <f>IF(A25="",0,(B25*4)+(C25*4))</f>
        <v/>
      </c>
      <c r="AN25" s="54">
        <f>IF(A25="",0,(B25*4)+(C25*4))</f>
        <v/>
      </c>
      <c r="AO25" s="54">
        <f>IF(A25="",0,(B25*6)+(C25*0))</f>
        <v/>
      </c>
      <c r="AP25" s="54">
        <f>IF(A25="",0,(B25*4)+(C25*10))</f>
        <v/>
      </c>
      <c r="AQ25" s="54">
        <f>IF(A25="",0,(B25*65)+(C25*80))</f>
        <v/>
      </c>
      <c r="AR25" s="54">
        <f>IF(A25="",0,(B25*0)+(C25*5))</f>
        <v/>
      </c>
      <c r="AS25" s="54">
        <f>IF(A25="",0,(B25*0)+(C25*50))</f>
        <v/>
      </c>
      <c r="AT25" s="54">
        <f>IF(A25="",0,(G25*25.51+N25*30+S25*7.5)/1000)</f>
        <v/>
      </c>
      <c r="AU25" s="54">
        <f>IF(A25="",0,(H25*21.74+V25*7.5)/1000)</f>
        <v/>
      </c>
      <c r="AV25" s="54">
        <f>IF(A25="",0,(G25*0.71)/1000)</f>
        <v/>
      </c>
      <c r="AW25" s="54">
        <f>IF(A25="",0,(AB25*5)/1000)</f>
        <v/>
      </c>
      <c r="AX25" s="54">
        <f>IF(A25="",0,(Y25*7)/1000)</f>
        <v/>
      </c>
      <c r="AY25" s="54">
        <f>IF(A25="",0,(AE25*7)/1000)</f>
        <v/>
      </c>
      <c r="AZ25" s="54">
        <f>IF(A25="",0,ROUNDUP((H25+N25)/115,0)*1.5)</f>
        <v/>
      </c>
      <c r="BA25" s="54">
        <f>IF(A25="",0,ROUNDUP((H25+N25)/115,0)*20)</f>
        <v/>
      </c>
      <c r="BB25" s="54">
        <f>IF(A25="",0,ROUNDUP((H25+N25)/115,0)*80)</f>
        <v/>
      </c>
      <c r="BC25" s="54">
        <f>IF(A25="",0,ROUNDUP((H25+N25)/115,0)*5)</f>
        <v/>
      </c>
      <c r="BD25" s="54">
        <f>IF(A25="",0,ROUNDUP((H25+N25)/115,0)*2.5)</f>
        <v/>
      </c>
    </row>
    <row r="26">
      <c r="A26" s="127" t="n"/>
      <c r="B26" s="128" t="n"/>
      <c r="C26" s="128" t="n"/>
      <c r="D26" s="116">
        <f>IF(A26="","",B26*1508)</f>
        <v/>
      </c>
      <c r="E26" s="128" t="n"/>
      <c r="F26" s="128" t="n"/>
      <c r="G26" s="128" t="n"/>
      <c r="H26" s="128" t="n"/>
      <c r="I26" s="116">
        <f>IF(A26="","",MAX((E26/2)-G26,0))</f>
        <v/>
      </c>
      <c r="J26" s="117">
        <f>IF(OR(A26="",E26=0),"",I26/(E26/2))</f>
        <v/>
      </c>
      <c r="K26" s="116">
        <f>IF(A26="","",MAX((F26/2)-H26,0))</f>
        <v/>
      </c>
      <c r="L26" s="117">
        <f>IF(OR(A26="",F26=0),"",K26/(F26/2))</f>
        <v/>
      </c>
      <c r="M26" s="128" t="n"/>
      <c r="N26" s="128" t="n"/>
      <c r="O26" s="116">
        <f>IF(A26="","",MAX((M26/3)-N26,0))</f>
        <v/>
      </c>
      <c r="P26" s="117">
        <f>IF(OR(A26="",M26=0),"",O26/(M26/3))</f>
        <v/>
      </c>
      <c r="Q26" s="116">
        <f>IF(A26="","",C26*1508)</f>
        <v/>
      </c>
      <c r="R26" s="128" t="n"/>
      <c r="S26" s="128" t="n"/>
      <c r="T26" s="117">
        <f>IF(OR(A26="",R26=0),"",MAX(R26-S26,0)/R26)</f>
        <v/>
      </c>
      <c r="U26" s="128" t="n"/>
      <c r="V26" s="128" t="n"/>
      <c r="W26" s="117">
        <f>IF(OR(A26="",U26=0),"",MAX(U26-V26,0)/U26)</f>
        <v/>
      </c>
      <c r="X26" s="128" t="n"/>
      <c r="Y26" s="128" t="n"/>
      <c r="Z26" s="117">
        <f>IF(OR(A26="",X26=0),"",MAX(X26-Y26,0)/X26)</f>
        <v/>
      </c>
      <c r="AA26" s="128" t="n"/>
      <c r="AB26" s="128" t="n"/>
      <c r="AC26" s="117">
        <f>IF(OR(A26="",AA26=0),"",MAX(AA26-AB26,0)/AA26)</f>
        <v/>
      </c>
      <c r="AD26" s="128" t="n"/>
      <c r="AE26" s="128" t="n"/>
      <c r="AF26" s="117">
        <f>IF(OR(A26="",AD26=0),"",MAX(AD26-AE26,0)/AD26)</f>
        <v/>
      </c>
      <c r="AG26" s="54">
        <f>IF(A26="",0,(B26*40)+(C26*40))</f>
        <v/>
      </c>
      <c r="AH26" s="54">
        <f>IF(A26="",0,(B26*100)+(C26*0))</f>
        <v/>
      </c>
      <c r="AI26" s="54">
        <f>IF(A26="",0,(B26*10)+(C26*0))</f>
        <v/>
      </c>
      <c r="AJ26" s="54">
        <f>IF(A26="",0,(B26*50)+(C26*0))</f>
        <v/>
      </c>
      <c r="AK26" s="54">
        <f>IF(A26="",0,(B26*20)+(C26*0))</f>
        <v/>
      </c>
      <c r="AL26" s="54">
        <f>IF(A26="",0,(B26*60)+(C26*0))</f>
        <v/>
      </c>
      <c r="AM26" s="54">
        <f>IF(A26="",0,(B26*4)+(C26*4))</f>
        <v/>
      </c>
      <c r="AN26" s="54">
        <f>IF(A26="",0,(B26*4)+(C26*4))</f>
        <v/>
      </c>
      <c r="AO26" s="54">
        <f>IF(A26="",0,(B26*6)+(C26*0))</f>
        <v/>
      </c>
      <c r="AP26" s="54">
        <f>IF(A26="",0,(B26*4)+(C26*10))</f>
        <v/>
      </c>
      <c r="AQ26" s="54">
        <f>IF(A26="",0,(B26*65)+(C26*80))</f>
        <v/>
      </c>
      <c r="AR26" s="54">
        <f>IF(A26="",0,(B26*0)+(C26*5))</f>
        <v/>
      </c>
      <c r="AS26" s="54">
        <f>IF(A26="",0,(B26*0)+(C26*50))</f>
        <v/>
      </c>
      <c r="AT26" s="54">
        <f>IF(A26="",0,(G26*25.51+N26*30+S26*7.5)/1000)</f>
        <v/>
      </c>
      <c r="AU26" s="54">
        <f>IF(A26="",0,(H26*21.74+V26*7.5)/1000)</f>
        <v/>
      </c>
      <c r="AV26" s="54">
        <f>IF(A26="",0,(G26*0.71)/1000)</f>
        <v/>
      </c>
      <c r="AW26" s="54">
        <f>IF(A26="",0,(AB26*5)/1000)</f>
        <v/>
      </c>
      <c r="AX26" s="54">
        <f>IF(A26="",0,(Y26*7)/1000)</f>
        <v/>
      </c>
      <c r="AY26" s="54">
        <f>IF(A26="",0,(AE26*7)/1000)</f>
        <v/>
      </c>
      <c r="AZ26" s="54">
        <f>IF(A26="",0,ROUNDUP((H26+N26)/115,0)*1.5)</f>
        <v/>
      </c>
      <c r="BA26" s="54">
        <f>IF(A26="",0,ROUNDUP((H26+N26)/115,0)*20)</f>
        <v/>
      </c>
      <c r="BB26" s="54">
        <f>IF(A26="",0,ROUNDUP((H26+N26)/115,0)*80)</f>
        <v/>
      </c>
      <c r="BC26" s="54">
        <f>IF(A26="",0,ROUNDUP((H26+N26)/115,0)*5)</f>
        <v/>
      </c>
      <c r="BD26" s="54">
        <f>IF(A26="",0,ROUNDUP((H26+N26)/115,0)*2.5)</f>
        <v/>
      </c>
    </row>
    <row r="27">
      <c r="A27" s="127" t="n"/>
      <c r="B27" s="128" t="n"/>
      <c r="C27" s="128" t="n"/>
      <c r="D27" s="116">
        <f>IF(A27="","",B27*1508)</f>
        <v/>
      </c>
      <c r="E27" s="128" t="n"/>
      <c r="F27" s="128" t="n"/>
      <c r="G27" s="128" t="n"/>
      <c r="H27" s="128" t="n"/>
      <c r="I27" s="116">
        <f>IF(A27="","",MAX((E27/2)-G27,0))</f>
        <v/>
      </c>
      <c r="J27" s="117">
        <f>IF(OR(A27="",E27=0),"",I27/(E27/2))</f>
        <v/>
      </c>
      <c r="K27" s="116">
        <f>IF(A27="","",MAX((F27/2)-H27,0))</f>
        <v/>
      </c>
      <c r="L27" s="117">
        <f>IF(OR(A27="",F27=0),"",K27/(F27/2))</f>
        <v/>
      </c>
      <c r="M27" s="128" t="n"/>
      <c r="N27" s="128" t="n"/>
      <c r="O27" s="116">
        <f>IF(A27="","",MAX((M27/3)-N27,0))</f>
        <v/>
      </c>
      <c r="P27" s="117">
        <f>IF(OR(A27="",M27=0),"",O27/(M27/3))</f>
        <v/>
      </c>
      <c r="Q27" s="116">
        <f>IF(A27="","",C27*1508)</f>
        <v/>
      </c>
      <c r="R27" s="128" t="n"/>
      <c r="S27" s="128" t="n"/>
      <c r="T27" s="117">
        <f>IF(OR(A27="",R27=0),"",MAX(R27-S27,0)/R27)</f>
        <v/>
      </c>
      <c r="U27" s="128" t="n"/>
      <c r="V27" s="128" t="n"/>
      <c r="W27" s="117">
        <f>IF(OR(A27="",U27=0),"",MAX(U27-V27,0)/U27)</f>
        <v/>
      </c>
      <c r="X27" s="128" t="n"/>
      <c r="Y27" s="128" t="n"/>
      <c r="Z27" s="117">
        <f>IF(OR(A27="",X27=0),"",MAX(X27-Y27,0)/X27)</f>
        <v/>
      </c>
      <c r="AA27" s="128" t="n"/>
      <c r="AB27" s="128" t="n"/>
      <c r="AC27" s="117">
        <f>IF(OR(A27="",AA27=0),"",MAX(AA27-AB27,0)/AA27)</f>
        <v/>
      </c>
      <c r="AD27" s="128" t="n"/>
      <c r="AE27" s="128" t="n"/>
      <c r="AF27" s="117">
        <f>IF(OR(A27="",AD27=0),"",MAX(AD27-AE27,0)/AD27)</f>
        <v/>
      </c>
      <c r="AG27" s="54">
        <f>IF(A27="",0,(B27*40)+(C27*40))</f>
        <v/>
      </c>
      <c r="AH27" s="54">
        <f>IF(A27="",0,(B27*100)+(C27*0))</f>
        <v/>
      </c>
      <c r="AI27" s="54">
        <f>IF(A27="",0,(B27*10)+(C27*0))</f>
        <v/>
      </c>
      <c r="AJ27" s="54">
        <f>IF(A27="",0,(B27*50)+(C27*0))</f>
        <v/>
      </c>
      <c r="AK27" s="54">
        <f>IF(A27="",0,(B27*20)+(C27*0))</f>
        <v/>
      </c>
      <c r="AL27" s="54">
        <f>IF(A27="",0,(B27*60)+(C27*0))</f>
        <v/>
      </c>
      <c r="AM27" s="54">
        <f>IF(A27="",0,(B27*4)+(C27*4))</f>
        <v/>
      </c>
      <c r="AN27" s="54">
        <f>IF(A27="",0,(B27*4)+(C27*4))</f>
        <v/>
      </c>
      <c r="AO27" s="54">
        <f>IF(A27="",0,(B27*6)+(C27*0))</f>
        <v/>
      </c>
      <c r="AP27" s="54">
        <f>IF(A27="",0,(B27*4)+(C27*10))</f>
        <v/>
      </c>
      <c r="AQ27" s="54">
        <f>IF(A27="",0,(B27*65)+(C27*80))</f>
        <v/>
      </c>
      <c r="AR27" s="54">
        <f>IF(A27="",0,(B27*0)+(C27*5))</f>
        <v/>
      </c>
      <c r="AS27" s="54">
        <f>IF(A27="",0,(B27*0)+(C27*50))</f>
        <v/>
      </c>
      <c r="AT27" s="54">
        <f>IF(A27="",0,(G27*25.51+N27*30+S27*7.5)/1000)</f>
        <v/>
      </c>
      <c r="AU27" s="54">
        <f>IF(A27="",0,(H27*21.74+V27*7.5)/1000)</f>
        <v/>
      </c>
      <c r="AV27" s="54">
        <f>IF(A27="",0,(G27*0.71)/1000)</f>
        <v/>
      </c>
      <c r="AW27" s="54">
        <f>IF(A27="",0,(AB27*5)/1000)</f>
        <v/>
      </c>
      <c r="AX27" s="54">
        <f>IF(A27="",0,(Y27*7)/1000)</f>
        <v/>
      </c>
      <c r="AY27" s="54">
        <f>IF(A27="",0,(AE27*7)/1000)</f>
        <v/>
      </c>
      <c r="AZ27" s="54">
        <f>IF(A27="",0,ROUNDUP((H27+N27)/115,0)*1.5)</f>
        <v/>
      </c>
      <c r="BA27" s="54">
        <f>IF(A27="",0,ROUNDUP((H27+N27)/115,0)*20)</f>
        <v/>
      </c>
      <c r="BB27" s="54">
        <f>IF(A27="",0,ROUNDUP((H27+N27)/115,0)*80)</f>
        <v/>
      </c>
      <c r="BC27" s="54">
        <f>IF(A27="",0,ROUNDUP((H27+N27)/115,0)*5)</f>
        <v/>
      </c>
      <c r="BD27" s="54">
        <f>IF(A27="",0,ROUNDUP((H27+N27)/115,0)*2.5)</f>
        <v/>
      </c>
    </row>
    <row r="28">
      <c r="A28" s="127" t="n"/>
      <c r="B28" s="128" t="n"/>
      <c r="C28" s="128" t="n"/>
      <c r="D28" s="116">
        <f>IF(A28="","",B28*1508)</f>
        <v/>
      </c>
      <c r="E28" s="128" t="n"/>
      <c r="F28" s="128" t="n"/>
      <c r="G28" s="128" t="n"/>
      <c r="H28" s="128" t="n"/>
      <c r="I28" s="116">
        <f>IF(A28="","",MAX((E28/2)-G28,0))</f>
        <v/>
      </c>
      <c r="J28" s="117">
        <f>IF(OR(A28="",E28=0),"",I28/(E28/2))</f>
        <v/>
      </c>
      <c r="K28" s="116">
        <f>IF(A28="","",MAX((F28/2)-H28,0))</f>
        <v/>
      </c>
      <c r="L28" s="117">
        <f>IF(OR(A28="",F28=0),"",K28/(F28/2))</f>
        <v/>
      </c>
      <c r="M28" s="128" t="n"/>
      <c r="N28" s="128" t="n"/>
      <c r="O28" s="116">
        <f>IF(A28="","",MAX((M28/3)-N28,0))</f>
        <v/>
      </c>
      <c r="P28" s="117">
        <f>IF(OR(A28="",M28=0),"",O28/(M28/3))</f>
        <v/>
      </c>
      <c r="Q28" s="116">
        <f>IF(A28="","",C28*1508)</f>
        <v/>
      </c>
      <c r="R28" s="128" t="n"/>
      <c r="S28" s="128" t="n"/>
      <c r="T28" s="117">
        <f>IF(OR(A28="",R28=0),"",MAX(R28-S28,0)/R28)</f>
        <v/>
      </c>
      <c r="U28" s="128" t="n"/>
      <c r="V28" s="128" t="n"/>
      <c r="W28" s="117">
        <f>IF(OR(A28="",U28=0),"",MAX(U28-V28,0)/U28)</f>
        <v/>
      </c>
      <c r="X28" s="128" t="n"/>
      <c r="Y28" s="128" t="n"/>
      <c r="Z28" s="117">
        <f>IF(OR(A28="",X28=0),"",MAX(X28-Y28,0)/X28)</f>
        <v/>
      </c>
      <c r="AA28" s="128" t="n"/>
      <c r="AB28" s="128" t="n"/>
      <c r="AC28" s="117">
        <f>IF(OR(A28="",AA28=0),"",MAX(AA28-AB28,0)/AA28)</f>
        <v/>
      </c>
      <c r="AD28" s="128" t="n"/>
      <c r="AE28" s="128" t="n"/>
      <c r="AF28" s="117">
        <f>IF(OR(A28="",AD28=0),"",MAX(AD28-AE28,0)/AD28)</f>
        <v/>
      </c>
      <c r="AG28" s="54">
        <f>IF(A28="",0,(B28*40)+(C28*40))</f>
        <v/>
      </c>
      <c r="AH28" s="54">
        <f>IF(A28="",0,(B28*100)+(C28*0))</f>
        <v/>
      </c>
      <c r="AI28" s="54">
        <f>IF(A28="",0,(B28*10)+(C28*0))</f>
        <v/>
      </c>
      <c r="AJ28" s="54">
        <f>IF(A28="",0,(B28*50)+(C28*0))</f>
        <v/>
      </c>
      <c r="AK28" s="54">
        <f>IF(A28="",0,(B28*20)+(C28*0))</f>
        <v/>
      </c>
      <c r="AL28" s="54">
        <f>IF(A28="",0,(B28*60)+(C28*0))</f>
        <v/>
      </c>
      <c r="AM28" s="54">
        <f>IF(A28="",0,(B28*4)+(C28*4))</f>
        <v/>
      </c>
      <c r="AN28" s="54">
        <f>IF(A28="",0,(B28*4)+(C28*4))</f>
        <v/>
      </c>
      <c r="AO28" s="54">
        <f>IF(A28="",0,(B28*6)+(C28*0))</f>
        <v/>
      </c>
      <c r="AP28" s="54">
        <f>IF(A28="",0,(B28*4)+(C28*10))</f>
        <v/>
      </c>
      <c r="AQ28" s="54">
        <f>IF(A28="",0,(B28*65)+(C28*80))</f>
        <v/>
      </c>
      <c r="AR28" s="54">
        <f>IF(A28="",0,(B28*0)+(C28*5))</f>
        <v/>
      </c>
      <c r="AS28" s="54">
        <f>IF(A28="",0,(B28*0)+(C28*50))</f>
        <v/>
      </c>
      <c r="AT28" s="54">
        <f>IF(A28="",0,(G28*25.51+N28*30+S28*7.5)/1000)</f>
        <v/>
      </c>
      <c r="AU28" s="54">
        <f>IF(A28="",0,(H28*21.74+V28*7.5)/1000)</f>
        <v/>
      </c>
      <c r="AV28" s="54">
        <f>IF(A28="",0,(G28*0.71)/1000)</f>
        <v/>
      </c>
      <c r="AW28" s="54">
        <f>IF(A28="",0,(AB28*5)/1000)</f>
        <v/>
      </c>
      <c r="AX28" s="54">
        <f>IF(A28="",0,(Y28*7)/1000)</f>
        <v/>
      </c>
      <c r="AY28" s="54">
        <f>IF(A28="",0,(AE28*7)/1000)</f>
        <v/>
      </c>
      <c r="AZ28" s="54">
        <f>IF(A28="",0,ROUNDUP((H28+N28)/115,0)*1.5)</f>
        <v/>
      </c>
      <c r="BA28" s="54">
        <f>IF(A28="",0,ROUNDUP((H28+N28)/115,0)*20)</f>
        <v/>
      </c>
      <c r="BB28" s="54">
        <f>IF(A28="",0,ROUNDUP((H28+N28)/115,0)*80)</f>
        <v/>
      </c>
      <c r="BC28" s="54">
        <f>IF(A28="",0,ROUNDUP((H28+N28)/115,0)*5)</f>
        <v/>
      </c>
      <c r="BD28" s="54">
        <f>IF(A28="",0,ROUNDUP((H28+N28)/115,0)*2.5)</f>
        <v/>
      </c>
    </row>
    <row r="29">
      <c r="A29" s="127" t="n"/>
      <c r="B29" s="128" t="n"/>
      <c r="C29" s="128" t="n"/>
      <c r="D29" s="116">
        <f>IF(A29="","",B29*1508)</f>
        <v/>
      </c>
      <c r="E29" s="128" t="n"/>
      <c r="F29" s="128" t="n"/>
      <c r="G29" s="128" t="n"/>
      <c r="H29" s="128" t="n"/>
      <c r="I29" s="116">
        <f>IF(A29="","",MAX((E29/2)-G29,0))</f>
        <v/>
      </c>
      <c r="J29" s="117">
        <f>IF(OR(A29="",E29=0),"",I29/(E29/2))</f>
        <v/>
      </c>
      <c r="K29" s="116">
        <f>IF(A29="","",MAX((F29/2)-H29,0))</f>
        <v/>
      </c>
      <c r="L29" s="117">
        <f>IF(OR(A29="",F29=0),"",K29/(F29/2))</f>
        <v/>
      </c>
      <c r="M29" s="128" t="n"/>
      <c r="N29" s="128" t="n"/>
      <c r="O29" s="116">
        <f>IF(A29="","",MAX((M29/3)-N29,0))</f>
        <v/>
      </c>
      <c r="P29" s="117">
        <f>IF(OR(A29="",M29=0),"",O29/(M29/3))</f>
        <v/>
      </c>
      <c r="Q29" s="116">
        <f>IF(A29="","",C29*1508)</f>
        <v/>
      </c>
      <c r="R29" s="128" t="n"/>
      <c r="S29" s="128" t="n"/>
      <c r="T29" s="117">
        <f>IF(OR(A29="",R29=0),"",MAX(R29-S29,0)/R29)</f>
        <v/>
      </c>
      <c r="U29" s="128" t="n"/>
      <c r="V29" s="128" t="n"/>
      <c r="W29" s="117">
        <f>IF(OR(A29="",U29=0),"",MAX(U29-V29,0)/U29)</f>
        <v/>
      </c>
      <c r="X29" s="128" t="n"/>
      <c r="Y29" s="128" t="n"/>
      <c r="Z29" s="117">
        <f>IF(OR(A29="",X29=0),"",MAX(X29-Y29,0)/X29)</f>
        <v/>
      </c>
      <c r="AA29" s="128" t="n"/>
      <c r="AB29" s="128" t="n"/>
      <c r="AC29" s="117">
        <f>IF(OR(A29="",AA29=0),"",MAX(AA29-AB29,0)/AA29)</f>
        <v/>
      </c>
      <c r="AD29" s="128" t="n"/>
      <c r="AE29" s="128" t="n"/>
      <c r="AF29" s="117">
        <f>IF(OR(A29="",AD29=0),"",MAX(AD29-AE29,0)/AD29)</f>
        <v/>
      </c>
      <c r="AG29" s="54">
        <f>IF(A29="",0,(B29*40)+(C29*40))</f>
        <v/>
      </c>
      <c r="AH29" s="54">
        <f>IF(A29="",0,(B29*100)+(C29*0))</f>
        <v/>
      </c>
      <c r="AI29" s="54">
        <f>IF(A29="",0,(B29*10)+(C29*0))</f>
        <v/>
      </c>
      <c r="AJ29" s="54">
        <f>IF(A29="",0,(B29*50)+(C29*0))</f>
        <v/>
      </c>
      <c r="AK29" s="54">
        <f>IF(A29="",0,(B29*20)+(C29*0))</f>
        <v/>
      </c>
      <c r="AL29" s="54">
        <f>IF(A29="",0,(B29*60)+(C29*0))</f>
        <v/>
      </c>
      <c r="AM29" s="54">
        <f>IF(A29="",0,(B29*4)+(C29*4))</f>
        <v/>
      </c>
      <c r="AN29" s="54">
        <f>IF(A29="",0,(B29*4)+(C29*4))</f>
        <v/>
      </c>
      <c r="AO29" s="54">
        <f>IF(A29="",0,(B29*6)+(C29*0))</f>
        <v/>
      </c>
      <c r="AP29" s="54">
        <f>IF(A29="",0,(B29*4)+(C29*10))</f>
        <v/>
      </c>
      <c r="AQ29" s="54">
        <f>IF(A29="",0,(B29*65)+(C29*80))</f>
        <v/>
      </c>
      <c r="AR29" s="54">
        <f>IF(A29="",0,(B29*0)+(C29*5))</f>
        <v/>
      </c>
      <c r="AS29" s="54">
        <f>IF(A29="",0,(B29*0)+(C29*50))</f>
        <v/>
      </c>
      <c r="AT29" s="54">
        <f>IF(A29="",0,(G29*25.51+N29*30+S29*7.5)/1000)</f>
        <v/>
      </c>
      <c r="AU29" s="54">
        <f>IF(A29="",0,(H29*21.74+V29*7.5)/1000)</f>
        <v/>
      </c>
      <c r="AV29" s="54">
        <f>IF(A29="",0,(G29*0.71)/1000)</f>
        <v/>
      </c>
      <c r="AW29" s="54">
        <f>IF(A29="",0,(AB29*5)/1000)</f>
        <v/>
      </c>
      <c r="AX29" s="54">
        <f>IF(A29="",0,(Y29*7)/1000)</f>
        <v/>
      </c>
      <c r="AY29" s="54">
        <f>IF(A29="",0,(AE29*7)/1000)</f>
        <v/>
      </c>
      <c r="AZ29" s="54">
        <f>IF(A29="",0,ROUNDUP((H29+N29)/115,0)*1.5)</f>
        <v/>
      </c>
      <c r="BA29" s="54">
        <f>IF(A29="",0,ROUNDUP((H29+N29)/115,0)*20)</f>
        <v/>
      </c>
      <c r="BB29" s="54">
        <f>IF(A29="",0,ROUNDUP((H29+N29)/115,0)*80)</f>
        <v/>
      </c>
      <c r="BC29" s="54">
        <f>IF(A29="",0,ROUNDUP((H29+N29)/115,0)*5)</f>
        <v/>
      </c>
      <c r="BD29" s="54">
        <f>IF(A29="",0,ROUNDUP((H29+N29)/115,0)*2.5)</f>
        <v/>
      </c>
    </row>
    <row r="30">
      <c r="A30" s="127" t="n"/>
      <c r="B30" s="128" t="n"/>
      <c r="C30" s="128" t="n"/>
      <c r="D30" s="116">
        <f>IF(A30="","",B30*1508)</f>
        <v/>
      </c>
      <c r="E30" s="128" t="n"/>
      <c r="F30" s="128" t="n"/>
      <c r="G30" s="128" t="n"/>
      <c r="H30" s="128" t="n"/>
      <c r="I30" s="116">
        <f>IF(A30="","",MAX((E30/2)-G30,0))</f>
        <v/>
      </c>
      <c r="J30" s="117">
        <f>IF(OR(A30="",E30=0),"",I30/(E30/2))</f>
        <v/>
      </c>
      <c r="K30" s="116">
        <f>IF(A30="","",MAX((F30/2)-H30,0))</f>
        <v/>
      </c>
      <c r="L30" s="117">
        <f>IF(OR(A30="",F30=0),"",K30/(F30/2))</f>
        <v/>
      </c>
      <c r="M30" s="128" t="n"/>
      <c r="N30" s="128" t="n"/>
      <c r="O30" s="116">
        <f>IF(A30="","",MAX((M30/3)-N30,0))</f>
        <v/>
      </c>
      <c r="P30" s="117">
        <f>IF(OR(A30="",M30=0),"",O30/(M30/3))</f>
        <v/>
      </c>
      <c r="Q30" s="116">
        <f>IF(A30="","",C30*1508)</f>
        <v/>
      </c>
      <c r="R30" s="128" t="n"/>
      <c r="S30" s="128" t="n"/>
      <c r="T30" s="117">
        <f>IF(OR(A30="",R30=0),"",MAX(R30-S30,0)/R30)</f>
        <v/>
      </c>
      <c r="U30" s="128" t="n"/>
      <c r="V30" s="128" t="n"/>
      <c r="W30" s="117">
        <f>IF(OR(A30="",U30=0),"",MAX(U30-V30,0)/U30)</f>
        <v/>
      </c>
      <c r="X30" s="128" t="n"/>
      <c r="Y30" s="128" t="n"/>
      <c r="Z30" s="117">
        <f>IF(OR(A30="",X30=0),"",MAX(X30-Y30,0)/X30)</f>
        <v/>
      </c>
      <c r="AA30" s="128" t="n"/>
      <c r="AB30" s="128" t="n"/>
      <c r="AC30" s="117">
        <f>IF(OR(A30="",AA30=0),"",MAX(AA30-AB30,0)/AA30)</f>
        <v/>
      </c>
      <c r="AD30" s="128" t="n"/>
      <c r="AE30" s="128" t="n"/>
      <c r="AF30" s="117">
        <f>IF(OR(A30="",AD30=0),"",MAX(AD30-AE30,0)/AD30)</f>
        <v/>
      </c>
      <c r="AG30" s="54">
        <f>IF(A30="",0,(B30*40)+(C30*40))</f>
        <v/>
      </c>
      <c r="AH30" s="54">
        <f>IF(A30="",0,(B30*100)+(C30*0))</f>
        <v/>
      </c>
      <c r="AI30" s="54">
        <f>IF(A30="",0,(B30*10)+(C30*0))</f>
        <v/>
      </c>
      <c r="AJ30" s="54">
        <f>IF(A30="",0,(B30*50)+(C30*0))</f>
        <v/>
      </c>
      <c r="AK30" s="54">
        <f>IF(A30="",0,(B30*20)+(C30*0))</f>
        <v/>
      </c>
      <c r="AL30" s="54">
        <f>IF(A30="",0,(B30*60)+(C30*0))</f>
        <v/>
      </c>
      <c r="AM30" s="54">
        <f>IF(A30="",0,(B30*4)+(C30*4))</f>
        <v/>
      </c>
      <c r="AN30" s="54">
        <f>IF(A30="",0,(B30*4)+(C30*4))</f>
        <v/>
      </c>
      <c r="AO30" s="54">
        <f>IF(A30="",0,(B30*6)+(C30*0))</f>
        <v/>
      </c>
      <c r="AP30" s="54">
        <f>IF(A30="",0,(B30*4)+(C30*10))</f>
        <v/>
      </c>
      <c r="AQ30" s="54">
        <f>IF(A30="",0,(B30*65)+(C30*80))</f>
        <v/>
      </c>
      <c r="AR30" s="54">
        <f>IF(A30="",0,(B30*0)+(C30*5))</f>
        <v/>
      </c>
      <c r="AS30" s="54">
        <f>IF(A30="",0,(B30*0)+(C30*50))</f>
        <v/>
      </c>
      <c r="AT30" s="54">
        <f>IF(A30="",0,(G30*25.51+N30*30+S30*7.5)/1000)</f>
        <v/>
      </c>
      <c r="AU30" s="54">
        <f>IF(A30="",0,(H30*21.74+V30*7.5)/1000)</f>
        <v/>
      </c>
      <c r="AV30" s="54">
        <f>IF(A30="",0,(G30*0.71)/1000)</f>
        <v/>
      </c>
      <c r="AW30" s="54">
        <f>IF(A30="",0,(AB30*5)/1000)</f>
        <v/>
      </c>
      <c r="AX30" s="54">
        <f>IF(A30="",0,(Y30*7)/1000)</f>
        <v/>
      </c>
      <c r="AY30" s="54">
        <f>IF(A30="",0,(AE30*7)/1000)</f>
        <v/>
      </c>
      <c r="AZ30" s="54">
        <f>IF(A30="",0,ROUNDUP((H30+N30)/115,0)*1.5)</f>
        <v/>
      </c>
      <c r="BA30" s="54">
        <f>IF(A30="",0,ROUNDUP((H30+N30)/115,0)*20)</f>
        <v/>
      </c>
      <c r="BB30" s="54">
        <f>IF(A30="",0,ROUNDUP((H30+N30)/115,0)*80)</f>
        <v/>
      </c>
      <c r="BC30" s="54">
        <f>IF(A30="",0,ROUNDUP((H30+N30)/115,0)*5)</f>
        <v/>
      </c>
      <c r="BD30" s="54">
        <f>IF(A30="",0,ROUNDUP((H30+N30)/115,0)*2.5)</f>
        <v/>
      </c>
    </row>
    <row r="31">
      <c r="A31" s="127" t="n"/>
      <c r="B31" s="128" t="n"/>
      <c r="C31" s="128" t="n"/>
      <c r="D31" s="116">
        <f>IF(A31="","",B31*1508)</f>
        <v/>
      </c>
      <c r="E31" s="128" t="n"/>
      <c r="F31" s="128" t="n"/>
      <c r="G31" s="128" t="n"/>
      <c r="H31" s="128" t="n"/>
      <c r="I31" s="116">
        <f>IF(A31="","",MAX((E31/2)-G31,0))</f>
        <v/>
      </c>
      <c r="J31" s="117">
        <f>IF(OR(A31="",E31=0),"",I31/(E31/2))</f>
        <v/>
      </c>
      <c r="K31" s="116">
        <f>IF(A31="","",MAX((F31/2)-H31,0))</f>
        <v/>
      </c>
      <c r="L31" s="117">
        <f>IF(OR(A31="",F31=0),"",K31/(F31/2))</f>
        <v/>
      </c>
      <c r="M31" s="128" t="n"/>
      <c r="N31" s="128" t="n"/>
      <c r="O31" s="116">
        <f>IF(A31="","",MAX((M31/3)-N31,0))</f>
        <v/>
      </c>
      <c r="P31" s="117">
        <f>IF(OR(A31="",M31=0),"",O31/(M31/3))</f>
        <v/>
      </c>
      <c r="Q31" s="116">
        <f>IF(A31="","",C31*1508)</f>
        <v/>
      </c>
      <c r="R31" s="128" t="n"/>
      <c r="S31" s="128" t="n"/>
      <c r="T31" s="117">
        <f>IF(OR(A31="",R31=0),"",MAX(R31-S31,0)/R31)</f>
        <v/>
      </c>
      <c r="U31" s="128" t="n"/>
      <c r="V31" s="128" t="n"/>
      <c r="W31" s="117">
        <f>IF(OR(A31="",U31=0),"",MAX(U31-V31,0)/U31)</f>
        <v/>
      </c>
      <c r="X31" s="128" t="n"/>
      <c r="Y31" s="128" t="n"/>
      <c r="Z31" s="117">
        <f>IF(OR(A31="",X31=0),"",MAX(X31-Y31,0)/X31)</f>
        <v/>
      </c>
      <c r="AA31" s="128" t="n"/>
      <c r="AB31" s="128" t="n"/>
      <c r="AC31" s="117">
        <f>IF(OR(A31="",AA31=0),"",MAX(AA31-AB31,0)/AA31)</f>
        <v/>
      </c>
      <c r="AD31" s="128" t="n"/>
      <c r="AE31" s="128" t="n"/>
      <c r="AF31" s="117">
        <f>IF(OR(A31="",AD31=0),"",MAX(AD31-AE31,0)/AD31)</f>
        <v/>
      </c>
      <c r="AG31" s="54">
        <f>IF(A31="",0,(B31*40)+(C31*40))</f>
        <v/>
      </c>
      <c r="AH31" s="54">
        <f>IF(A31="",0,(B31*100)+(C31*0))</f>
        <v/>
      </c>
      <c r="AI31" s="54">
        <f>IF(A31="",0,(B31*10)+(C31*0))</f>
        <v/>
      </c>
      <c r="AJ31" s="54">
        <f>IF(A31="",0,(B31*50)+(C31*0))</f>
        <v/>
      </c>
      <c r="AK31" s="54">
        <f>IF(A31="",0,(B31*20)+(C31*0))</f>
        <v/>
      </c>
      <c r="AL31" s="54">
        <f>IF(A31="",0,(B31*60)+(C31*0))</f>
        <v/>
      </c>
      <c r="AM31" s="54">
        <f>IF(A31="",0,(B31*4)+(C31*4))</f>
        <v/>
      </c>
      <c r="AN31" s="54">
        <f>IF(A31="",0,(B31*4)+(C31*4))</f>
        <v/>
      </c>
      <c r="AO31" s="54">
        <f>IF(A31="",0,(B31*6)+(C31*0))</f>
        <v/>
      </c>
      <c r="AP31" s="54">
        <f>IF(A31="",0,(B31*4)+(C31*10))</f>
        <v/>
      </c>
      <c r="AQ31" s="54">
        <f>IF(A31="",0,(B31*65)+(C31*80))</f>
        <v/>
      </c>
      <c r="AR31" s="54">
        <f>IF(A31="",0,(B31*0)+(C31*5))</f>
        <v/>
      </c>
      <c r="AS31" s="54">
        <f>IF(A31="",0,(B31*0)+(C31*50))</f>
        <v/>
      </c>
      <c r="AT31" s="54">
        <f>IF(A31="",0,(G31*25.51+N31*30+S31*7.5)/1000)</f>
        <v/>
      </c>
      <c r="AU31" s="54">
        <f>IF(A31="",0,(H31*21.74+V31*7.5)/1000)</f>
        <v/>
      </c>
      <c r="AV31" s="54">
        <f>IF(A31="",0,(G31*0.71)/1000)</f>
        <v/>
      </c>
      <c r="AW31" s="54">
        <f>IF(A31="",0,(AB31*5)/1000)</f>
        <v/>
      </c>
      <c r="AX31" s="54">
        <f>IF(A31="",0,(Y31*7)/1000)</f>
        <v/>
      </c>
      <c r="AY31" s="54">
        <f>IF(A31="",0,(AE31*7)/1000)</f>
        <v/>
      </c>
      <c r="AZ31" s="54">
        <f>IF(A31="",0,ROUNDUP((H31+N31)/115,0)*1.5)</f>
        <v/>
      </c>
      <c r="BA31" s="54">
        <f>IF(A31="",0,ROUNDUP((H31+N31)/115,0)*20)</f>
        <v/>
      </c>
      <c r="BB31" s="54">
        <f>IF(A31="",0,ROUNDUP((H31+N31)/115,0)*80)</f>
        <v/>
      </c>
      <c r="BC31" s="54">
        <f>IF(A31="",0,ROUNDUP((H31+N31)/115,0)*5)</f>
        <v/>
      </c>
      <c r="BD31" s="54">
        <f>IF(A31="",0,ROUNDUP((H31+N31)/115,0)*2.5)</f>
        <v/>
      </c>
    </row>
    <row r="32">
      <c r="A32" s="127" t="n"/>
      <c r="B32" s="128" t="n"/>
      <c r="C32" s="128" t="n"/>
      <c r="D32" s="116">
        <f>IF(A32="","",B32*1508)</f>
        <v/>
      </c>
      <c r="E32" s="128" t="n"/>
      <c r="F32" s="128" t="n"/>
      <c r="G32" s="128" t="n"/>
      <c r="H32" s="128" t="n"/>
      <c r="I32" s="116">
        <f>IF(A32="","",MAX((E32/2)-G32,0))</f>
        <v/>
      </c>
      <c r="J32" s="117">
        <f>IF(OR(A32="",E32=0),"",I32/(E32/2))</f>
        <v/>
      </c>
      <c r="K32" s="116">
        <f>IF(A32="","",MAX((F32/2)-H32,0))</f>
        <v/>
      </c>
      <c r="L32" s="117">
        <f>IF(OR(A32="",F32=0),"",K32/(F32/2))</f>
        <v/>
      </c>
      <c r="M32" s="128" t="n"/>
      <c r="N32" s="128" t="n"/>
      <c r="O32" s="116">
        <f>IF(A32="","",MAX((M32/3)-N32,0))</f>
        <v/>
      </c>
      <c r="P32" s="117">
        <f>IF(OR(A32="",M32=0),"",O32/(M32/3))</f>
        <v/>
      </c>
      <c r="Q32" s="116">
        <f>IF(A32="","",C32*1508)</f>
        <v/>
      </c>
      <c r="R32" s="128" t="n"/>
      <c r="S32" s="128" t="n"/>
      <c r="T32" s="117">
        <f>IF(OR(A32="",R32=0),"",MAX(R32-S32,0)/R32)</f>
        <v/>
      </c>
      <c r="U32" s="128" t="n"/>
      <c r="V32" s="128" t="n"/>
      <c r="W32" s="117">
        <f>IF(OR(A32="",U32=0),"",MAX(U32-V32,0)/U32)</f>
        <v/>
      </c>
      <c r="X32" s="128" t="n"/>
      <c r="Y32" s="128" t="n"/>
      <c r="Z32" s="117">
        <f>IF(OR(A32="",X32=0),"",MAX(X32-Y32,0)/X32)</f>
        <v/>
      </c>
      <c r="AA32" s="128" t="n"/>
      <c r="AB32" s="128" t="n"/>
      <c r="AC32" s="117">
        <f>IF(OR(A32="",AA32=0),"",MAX(AA32-AB32,0)/AA32)</f>
        <v/>
      </c>
      <c r="AD32" s="128" t="n"/>
      <c r="AE32" s="128" t="n"/>
      <c r="AF32" s="117">
        <f>IF(OR(A32="",AD32=0),"",MAX(AD32-AE32,0)/AD32)</f>
        <v/>
      </c>
      <c r="AG32" s="54">
        <f>IF(A32="",0,(B32*40)+(C32*40))</f>
        <v/>
      </c>
      <c r="AH32" s="54">
        <f>IF(A32="",0,(B32*100)+(C32*0))</f>
        <v/>
      </c>
      <c r="AI32" s="54">
        <f>IF(A32="",0,(B32*10)+(C32*0))</f>
        <v/>
      </c>
      <c r="AJ32" s="54">
        <f>IF(A32="",0,(B32*50)+(C32*0))</f>
        <v/>
      </c>
      <c r="AK32" s="54">
        <f>IF(A32="",0,(B32*20)+(C32*0))</f>
        <v/>
      </c>
      <c r="AL32" s="54">
        <f>IF(A32="",0,(B32*60)+(C32*0))</f>
        <v/>
      </c>
      <c r="AM32" s="54">
        <f>IF(A32="",0,(B32*4)+(C32*4))</f>
        <v/>
      </c>
      <c r="AN32" s="54">
        <f>IF(A32="",0,(B32*4)+(C32*4))</f>
        <v/>
      </c>
      <c r="AO32" s="54">
        <f>IF(A32="",0,(B32*6)+(C32*0))</f>
        <v/>
      </c>
      <c r="AP32" s="54">
        <f>IF(A32="",0,(B32*4)+(C32*10))</f>
        <v/>
      </c>
      <c r="AQ32" s="54">
        <f>IF(A32="",0,(B32*65)+(C32*80))</f>
        <v/>
      </c>
      <c r="AR32" s="54">
        <f>IF(A32="",0,(B32*0)+(C32*5))</f>
        <v/>
      </c>
      <c r="AS32" s="54">
        <f>IF(A32="",0,(B32*0)+(C32*50))</f>
        <v/>
      </c>
      <c r="AT32" s="54">
        <f>IF(A32="",0,(G32*25.51+N32*30+S32*7.5)/1000)</f>
        <v/>
      </c>
      <c r="AU32" s="54">
        <f>IF(A32="",0,(H32*21.74+V32*7.5)/1000)</f>
        <v/>
      </c>
      <c r="AV32" s="54">
        <f>IF(A32="",0,(G32*0.71)/1000)</f>
        <v/>
      </c>
      <c r="AW32" s="54">
        <f>IF(A32="",0,(AB32*5)/1000)</f>
        <v/>
      </c>
      <c r="AX32" s="54">
        <f>IF(A32="",0,(Y32*7)/1000)</f>
        <v/>
      </c>
      <c r="AY32" s="54">
        <f>IF(A32="",0,(AE32*7)/1000)</f>
        <v/>
      </c>
      <c r="AZ32" s="54">
        <f>IF(A32="",0,ROUNDUP((H32+N32)/115,0)*1.5)</f>
        <v/>
      </c>
      <c r="BA32" s="54">
        <f>IF(A32="",0,ROUNDUP((H32+N32)/115,0)*20)</f>
        <v/>
      </c>
      <c r="BB32" s="54">
        <f>IF(A32="",0,ROUNDUP((H32+N32)/115,0)*80)</f>
        <v/>
      </c>
      <c r="BC32" s="54">
        <f>IF(A32="",0,ROUNDUP((H32+N32)/115,0)*5)</f>
        <v/>
      </c>
      <c r="BD32" s="54">
        <f>IF(A32="",0,ROUNDUP((H32+N32)/115,0)*2.5)</f>
        <v/>
      </c>
    </row>
    <row r="33">
      <c r="A33" s="127" t="n"/>
      <c r="B33" s="128" t="n"/>
      <c r="C33" s="128" t="n"/>
      <c r="D33" s="116">
        <f>IF(A33="","",B33*1508)</f>
        <v/>
      </c>
      <c r="E33" s="128" t="n"/>
      <c r="F33" s="128" t="n"/>
      <c r="G33" s="128" t="n"/>
      <c r="H33" s="128" t="n"/>
      <c r="I33" s="116">
        <f>IF(A33="","",MAX((E33/2)-G33,0))</f>
        <v/>
      </c>
      <c r="J33" s="117">
        <f>IF(OR(A33="",E33=0),"",I33/(E33/2))</f>
        <v/>
      </c>
      <c r="K33" s="116">
        <f>IF(A33="","",MAX((F33/2)-H33,0))</f>
        <v/>
      </c>
      <c r="L33" s="117">
        <f>IF(OR(A33="",F33=0),"",K33/(F33/2))</f>
        <v/>
      </c>
      <c r="M33" s="128" t="n"/>
      <c r="N33" s="128" t="n"/>
      <c r="O33" s="116">
        <f>IF(A33="","",MAX((M33/3)-N33,0))</f>
        <v/>
      </c>
      <c r="P33" s="117">
        <f>IF(OR(A33="",M33=0),"",O33/(M33/3))</f>
        <v/>
      </c>
      <c r="Q33" s="116">
        <f>IF(A33="","",C33*1508)</f>
        <v/>
      </c>
      <c r="R33" s="128" t="n"/>
      <c r="S33" s="128" t="n"/>
      <c r="T33" s="117">
        <f>IF(OR(A33="",R33=0),"",MAX(R33-S33,0)/R33)</f>
        <v/>
      </c>
      <c r="U33" s="128" t="n"/>
      <c r="V33" s="128" t="n"/>
      <c r="W33" s="117">
        <f>IF(OR(A33="",U33=0),"",MAX(U33-V33,0)/U33)</f>
        <v/>
      </c>
      <c r="X33" s="128" t="n"/>
      <c r="Y33" s="128" t="n"/>
      <c r="Z33" s="117">
        <f>IF(OR(A33="",X33=0),"",MAX(X33-Y33,0)/X33)</f>
        <v/>
      </c>
      <c r="AA33" s="128" t="n"/>
      <c r="AB33" s="128" t="n"/>
      <c r="AC33" s="117">
        <f>IF(OR(A33="",AA33=0),"",MAX(AA33-AB33,0)/AA33)</f>
        <v/>
      </c>
      <c r="AD33" s="128" t="n"/>
      <c r="AE33" s="128" t="n"/>
      <c r="AF33" s="117">
        <f>IF(OR(A33="",AD33=0),"",MAX(AD33-AE33,0)/AD33)</f>
        <v/>
      </c>
      <c r="AG33" s="54">
        <f>IF(A33="",0,(B33*40)+(C33*40))</f>
        <v/>
      </c>
      <c r="AH33" s="54">
        <f>IF(A33="",0,(B33*100)+(C33*0))</f>
        <v/>
      </c>
      <c r="AI33" s="54">
        <f>IF(A33="",0,(B33*10)+(C33*0))</f>
        <v/>
      </c>
      <c r="AJ33" s="54">
        <f>IF(A33="",0,(B33*50)+(C33*0))</f>
        <v/>
      </c>
      <c r="AK33" s="54">
        <f>IF(A33="",0,(B33*20)+(C33*0))</f>
        <v/>
      </c>
      <c r="AL33" s="54">
        <f>IF(A33="",0,(B33*60)+(C33*0))</f>
        <v/>
      </c>
      <c r="AM33" s="54">
        <f>IF(A33="",0,(B33*4)+(C33*4))</f>
        <v/>
      </c>
      <c r="AN33" s="54">
        <f>IF(A33="",0,(B33*4)+(C33*4))</f>
        <v/>
      </c>
      <c r="AO33" s="54">
        <f>IF(A33="",0,(B33*6)+(C33*0))</f>
        <v/>
      </c>
      <c r="AP33" s="54">
        <f>IF(A33="",0,(B33*4)+(C33*10))</f>
        <v/>
      </c>
      <c r="AQ33" s="54">
        <f>IF(A33="",0,(B33*65)+(C33*80))</f>
        <v/>
      </c>
      <c r="AR33" s="54">
        <f>IF(A33="",0,(B33*0)+(C33*5))</f>
        <v/>
      </c>
      <c r="AS33" s="54">
        <f>IF(A33="",0,(B33*0)+(C33*50))</f>
        <v/>
      </c>
      <c r="AT33" s="54">
        <f>IF(A33="",0,(G33*25.51+N33*30+S33*7.5)/1000)</f>
        <v/>
      </c>
      <c r="AU33" s="54">
        <f>IF(A33="",0,(H33*21.74+V33*7.5)/1000)</f>
        <v/>
      </c>
      <c r="AV33" s="54">
        <f>IF(A33="",0,(G33*0.71)/1000)</f>
        <v/>
      </c>
      <c r="AW33" s="54">
        <f>IF(A33="",0,(AB33*5)/1000)</f>
        <v/>
      </c>
      <c r="AX33" s="54">
        <f>IF(A33="",0,(Y33*7)/1000)</f>
        <v/>
      </c>
      <c r="AY33" s="54">
        <f>IF(A33="",0,(AE33*7)/1000)</f>
        <v/>
      </c>
      <c r="AZ33" s="54">
        <f>IF(A33="",0,ROUNDUP((H33+N33)/115,0)*1.5)</f>
        <v/>
      </c>
      <c r="BA33" s="54">
        <f>IF(A33="",0,ROUNDUP((H33+N33)/115,0)*20)</f>
        <v/>
      </c>
      <c r="BB33" s="54">
        <f>IF(A33="",0,ROUNDUP((H33+N33)/115,0)*80)</f>
        <v/>
      </c>
      <c r="BC33" s="54">
        <f>IF(A33="",0,ROUNDUP((H33+N33)/115,0)*5)</f>
        <v/>
      </c>
      <c r="BD33" s="54">
        <f>IF(A33="",0,ROUNDUP((H33+N33)/115,0)*2.5)</f>
        <v/>
      </c>
    </row>
    <row r="34">
      <c r="A34" s="127" t="n"/>
      <c r="B34" s="128" t="n"/>
      <c r="C34" s="128" t="n"/>
      <c r="D34" s="116">
        <f>IF(A34="","",B34*1508)</f>
        <v/>
      </c>
      <c r="E34" s="128" t="n"/>
      <c r="F34" s="128" t="n"/>
      <c r="G34" s="128" t="n"/>
      <c r="H34" s="128" t="n"/>
      <c r="I34" s="116">
        <f>IF(A34="","",MAX((E34/2)-G34,0))</f>
        <v/>
      </c>
      <c r="J34" s="117">
        <f>IF(OR(A34="",E34=0),"",I34/(E34/2))</f>
        <v/>
      </c>
      <c r="K34" s="116">
        <f>IF(A34="","",MAX((F34/2)-H34,0))</f>
        <v/>
      </c>
      <c r="L34" s="117">
        <f>IF(OR(A34="",F34=0),"",K34/(F34/2))</f>
        <v/>
      </c>
      <c r="M34" s="128" t="n"/>
      <c r="N34" s="128" t="n"/>
      <c r="O34" s="116">
        <f>IF(A34="","",MAX((M34/3)-N34,0))</f>
        <v/>
      </c>
      <c r="P34" s="117">
        <f>IF(OR(A34="",M34=0),"",O34/(M34/3))</f>
        <v/>
      </c>
      <c r="Q34" s="116">
        <f>IF(A34="","",C34*1508)</f>
        <v/>
      </c>
      <c r="R34" s="128" t="n"/>
      <c r="S34" s="128" t="n"/>
      <c r="T34" s="117">
        <f>IF(OR(A34="",R34=0),"",MAX(R34-S34,0)/R34)</f>
        <v/>
      </c>
      <c r="U34" s="128" t="n"/>
      <c r="V34" s="128" t="n"/>
      <c r="W34" s="117">
        <f>IF(OR(A34="",U34=0),"",MAX(U34-V34,0)/U34)</f>
        <v/>
      </c>
      <c r="X34" s="128" t="n"/>
      <c r="Y34" s="128" t="n"/>
      <c r="Z34" s="117">
        <f>IF(OR(A34="",X34=0),"",MAX(X34-Y34,0)/X34)</f>
        <v/>
      </c>
      <c r="AA34" s="128" t="n"/>
      <c r="AB34" s="128" t="n"/>
      <c r="AC34" s="117">
        <f>IF(OR(A34="",AA34=0),"",MAX(AA34-AB34,0)/AA34)</f>
        <v/>
      </c>
      <c r="AD34" s="128" t="n"/>
      <c r="AE34" s="128" t="n"/>
      <c r="AF34" s="117">
        <f>IF(OR(A34="",AD34=0),"",MAX(AD34-AE34,0)/AD34)</f>
        <v/>
      </c>
      <c r="AG34" s="54">
        <f>IF(A34="",0,(B34*40)+(C34*40))</f>
        <v/>
      </c>
      <c r="AH34" s="54">
        <f>IF(A34="",0,(B34*100)+(C34*0))</f>
        <v/>
      </c>
      <c r="AI34" s="54">
        <f>IF(A34="",0,(B34*10)+(C34*0))</f>
        <v/>
      </c>
      <c r="AJ34" s="54">
        <f>IF(A34="",0,(B34*50)+(C34*0))</f>
        <v/>
      </c>
      <c r="AK34" s="54">
        <f>IF(A34="",0,(B34*20)+(C34*0))</f>
        <v/>
      </c>
      <c r="AL34" s="54">
        <f>IF(A34="",0,(B34*60)+(C34*0))</f>
        <v/>
      </c>
      <c r="AM34" s="54">
        <f>IF(A34="",0,(B34*4)+(C34*4))</f>
        <v/>
      </c>
      <c r="AN34" s="54">
        <f>IF(A34="",0,(B34*4)+(C34*4))</f>
        <v/>
      </c>
      <c r="AO34" s="54">
        <f>IF(A34="",0,(B34*6)+(C34*0))</f>
        <v/>
      </c>
      <c r="AP34" s="54">
        <f>IF(A34="",0,(B34*4)+(C34*10))</f>
        <v/>
      </c>
      <c r="AQ34" s="54">
        <f>IF(A34="",0,(B34*65)+(C34*80))</f>
        <v/>
      </c>
      <c r="AR34" s="54">
        <f>IF(A34="",0,(B34*0)+(C34*5))</f>
        <v/>
      </c>
      <c r="AS34" s="54">
        <f>IF(A34="",0,(B34*0)+(C34*50))</f>
        <v/>
      </c>
      <c r="AT34" s="54">
        <f>IF(A34="",0,(G34*25.51+N34*30+S34*7.5)/1000)</f>
        <v/>
      </c>
      <c r="AU34" s="54">
        <f>IF(A34="",0,(H34*21.74+V34*7.5)/1000)</f>
        <v/>
      </c>
      <c r="AV34" s="54">
        <f>IF(A34="",0,(G34*0.71)/1000)</f>
        <v/>
      </c>
      <c r="AW34" s="54">
        <f>IF(A34="",0,(AB34*5)/1000)</f>
        <v/>
      </c>
      <c r="AX34" s="54">
        <f>IF(A34="",0,(Y34*7)/1000)</f>
        <v/>
      </c>
      <c r="AY34" s="54">
        <f>IF(A34="",0,(AE34*7)/1000)</f>
        <v/>
      </c>
      <c r="AZ34" s="54">
        <f>IF(A34="",0,ROUNDUP((H34+N34)/115,0)*1.5)</f>
        <v/>
      </c>
      <c r="BA34" s="54">
        <f>IF(A34="",0,ROUNDUP((H34+N34)/115,0)*20)</f>
        <v/>
      </c>
      <c r="BB34" s="54">
        <f>IF(A34="",0,ROUNDUP((H34+N34)/115,0)*80)</f>
        <v/>
      </c>
      <c r="BC34" s="54">
        <f>IF(A34="",0,ROUNDUP((H34+N34)/115,0)*5)</f>
        <v/>
      </c>
      <c r="BD34" s="54">
        <f>IF(A34="",0,ROUNDUP((H34+N34)/115,0)*2.5)</f>
        <v/>
      </c>
    </row>
    <row r="35">
      <c r="A35" s="127" t="n"/>
      <c r="B35" s="128" t="n"/>
      <c r="C35" s="128" t="n"/>
      <c r="D35" s="116">
        <f>IF(A35="","",B35*1508)</f>
        <v/>
      </c>
      <c r="E35" s="128" t="n"/>
      <c r="F35" s="128" t="n"/>
      <c r="G35" s="128" t="n"/>
      <c r="H35" s="128" t="n"/>
      <c r="I35" s="116">
        <f>IF(A35="","",MAX((E35/2)-G35,0))</f>
        <v/>
      </c>
      <c r="J35" s="117">
        <f>IF(OR(A35="",E35=0),"",I35/(E35/2))</f>
        <v/>
      </c>
      <c r="K35" s="116">
        <f>IF(A35="","",MAX((F35/2)-H35,0))</f>
        <v/>
      </c>
      <c r="L35" s="117">
        <f>IF(OR(A35="",F35=0),"",K35/(F35/2))</f>
        <v/>
      </c>
      <c r="M35" s="128" t="n"/>
      <c r="N35" s="128" t="n"/>
      <c r="O35" s="116">
        <f>IF(A35="","",MAX((M35/3)-N35,0))</f>
        <v/>
      </c>
      <c r="P35" s="117">
        <f>IF(OR(A35="",M35=0),"",O35/(M35/3))</f>
        <v/>
      </c>
      <c r="Q35" s="116">
        <f>IF(A35="","",C35*1508)</f>
        <v/>
      </c>
      <c r="R35" s="128" t="n"/>
      <c r="S35" s="128" t="n"/>
      <c r="T35" s="117">
        <f>IF(OR(A35="",R35=0),"",MAX(R35-S35,0)/R35)</f>
        <v/>
      </c>
      <c r="U35" s="128" t="n"/>
      <c r="V35" s="128" t="n"/>
      <c r="W35" s="117">
        <f>IF(OR(A35="",U35=0),"",MAX(U35-V35,0)/U35)</f>
        <v/>
      </c>
      <c r="X35" s="128" t="n"/>
      <c r="Y35" s="128" t="n"/>
      <c r="Z35" s="117">
        <f>IF(OR(A35="",X35=0),"",MAX(X35-Y35,0)/X35)</f>
        <v/>
      </c>
      <c r="AA35" s="128" t="n"/>
      <c r="AB35" s="128" t="n"/>
      <c r="AC35" s="117">
        <f>IF(OR(A35="",AA35=0),"",MAX(AA35-AB35,0)/AA35)</f>
        <v/>
      </c>
      <c r="AD35" s="128" t="n"/>
      <c r="AE35" s="128" t="n"/>
      <c r="AF35" s="117">
        <f>IF(OR(A35="",AD35=0),"",MAX(AD35-AE35,0)/AD35)</f>
        <v/>
      </c>
      <c r="AG35" s="54">
        <f>IF(A35="",0,(B35*40)+(C35*40))</f>
        <v/>
      </c>
      <c r="AH35" s="54">
        <f>IF(A35="",0,(B35*100)+(C35*0))</f>
        <v/>
      </c>
      <c r="AI35" s="54">
        <f>IF(A35="",0,(B35*10)+(C35*0))</f>
        <v/>
      </c>
      <c r="AJ35" s="54">
        <f>IF(A35="",0,(B35*50)+(C35*0))</f>
        <v/>
      </c>
      <c r="AK35" s="54">
        <f>IF(A35="",0,(B35*20)+(C35*0))</f>
        <v/>
      </c>
      <c r="AL35" s="54">
        <f>IF(A35="",0,(B35*60)+(C35*0))</f>
        <v/>
      </c>
      <c r="AM35" s="54">
        <f>IF(A35="",0,(B35*4)+(C35*4))</f>
        <v/>
      </c>
      <c r="AN35" s="54">
        <f>IF(A35="",0,(B35*4)+(C35*4))</f>
        <v/>
      </c>
      <c r="AO35" s="54">
        <f>IF(A35="",0,(B35*6)+(C35*0))</f>
        <v/>
      </c>
      <c r="AP35" s="54">
        <f>IF(A35="",0,(B35*4)+(C35*10))</f>
        <v/>
      </c>
      <c r="AQ35" s="54">
        <f>IF(A35="",0,(B35*65)+(C35*80))</f>
        <v/>
      </c>
      <c r="AR35" s="54">
        <f>IF(A35="",0,(B35*0)+(C35*5))</f>
        <v/>
      </c>
      <c r="AS35" s="54">
        <f>IF(A35="",0,(B35*0)+(C35*50))</f>
        <v/>
      </c>
      <c r="AT35" s="54">
        <f>IF(A35="",0,(G35*25.51+N35*30+S35*7.5)/1000)</f>
        <v/>
      </c>
      <c r="AU35" s="54">
        <f>IF(A35="",0,(H35*21.74+V35*7.5)/1000)</f>
        <v/>
      </c>
      <c r="AV35" s="54">
        <f>IF(A35="",0,(G35*0.71)/1000)</f>
        <v/>
      </c>
      <c r="AW35" s="54">
        <f>IF(A35="",0,(AB35*5)/1000)</f>
        <v/>
      </c>
      <c r="AX35" s="54">
        <f>IF(A35="",0,(Y35*7)/1000)</f>
        <v/>
      </c>
      <c r="AY35" s="54">
        <f>IF(A35="",0,(AE35*7)/1000)</f>
        <v/>
      </c>
      <c r="AZ35" s="54">
        <f>IF(A35="",0,ROUNDUP((H35+N35)/115,0)*1.5)</f>
        <v/>
      </c>
      <c r="BA35" s="54">
        <f>IF(A35="",0,ROUNDUP((H35+N35)/115,0)*20)</f>
        <v/>
      </c>
      <c r="BB35" s="54">
        <f>IF(A35="",0,ROUNDUP((H35+N35)/115,0)*80)</f>
        <v/>
      </c>
      <c r="BC35" s="54">
        <f>IF(A35="",0,ROUNDUP((H35+N35)/115,0)*5)</f>
        <v/>
      </c>
      <c r="BD35" s="54">
        <f>IF(A35="",0,ROUNDUP((H35+N35)/115,0)*2.5)</f>
        <v/>
      </c>
    </row>
    <row r="36">
      <c r="A36" s="127" t="n"/>
      <c r="B36" s="128" t="n"/>
      <c r="C36" s="128" t="n"/>
      <c r="D36" s="116">
        <f>IF(A36="","",B36*1508)</f>
        <v/>
      </c>
      <c r="E36" s="128" t="n"/>
      <c r="F36" s="128" t="n"/>
      <c r="G36" s="128" t="n"/>
      <c r="H36" s="128" t="n"/>
      <c r="I36" s="116">
        <f>IF(A36="","",MAX((E36/2)-G36,0))</f>
        <v/>
      </c>
      <c r="J36" s="117">
        <f>IF(OR(A36="",E36=0),"",I36/(E36/2))</f>
        <v/>
      </c>
      <c r="K36" s="116">
        <f>IF(A36="","",MAX((F36/2)-H36,0))</f>
        <v/>
      </c>
      <c r="L36" s="117">
        <f>IF(OR(A36="",F36=0),"",K36/(F36/2))</f>
        <v/>
      </c>
      <c r="M36" s="128" t="n"/>
      <c r="N36" s="128" t="n"/>
      <c r="O36" s="116">
        <f>IF(A36="","",MAX((M36/3)-N36,0))</f>
        <v/>
      </c>
      <c r="P36" s="117">
        <f>IF(OR(A36="",M36=0),"",O36/(M36/3))</f>
        <v/>
      </c>
      <c r="Q36" s="116">
        <f>IF(A36="","",C36*1508)</f>
        <v/>
      </c>
      <c r="R36" s="128" t="n"/>
      <c r="S36" s="128" t="n"/>
      <c r="T36" s="117">
        <f>IF(OR(A36="",R36=0),"",MAX(R36-S36,0)/R36)</f>
        <v/>
      </c>
      <c r="U36" s="128" t="n"/>
      <c r="V36" s="128" t="n"/>
      <c r="W36" s="117">
        <f>IF(OR(A36="",U36=0),"",MAX(U36-V36,0)/U36)</f>
        <v/>
      </c>
      <c r="X36" s="128" t="n"/>
      <c r="Y36" s="128" t="n"/>
      <c r="Z36" s="117">
        <f>IF(OR(A36="",X36=0),"",MAX(X36-Y36,0)/X36)</f>
        <v/>
      </c>
      <c r="AA36" s="128" t="n"/>
      <c r="AB36" s="128" t="n"/>
      <c r="AC36" s="117">
        <f>IF(OR(A36="",AA36=0),"",MAX(AA36-AB36,0)/AA36)</f>
        <v/>
      </c>
      <c r="AD36" s="128" t="n"/>
      <c r="AE36" s="128" t="n"/>
      <c r="AF36" s="117">
        <f>IF(OR(A36="",AD36=0),"",MAX(AD36-AE36,0)/AD36)</f>
        <v/>
      </c>
      <c r="AG36" s="54">
        <f>IF(A36="",0,(B36*40)+(C36*40))</f>
        <v/>
      </c>
      <c r="AH36" s="54">
        <f>IF(A36="",0,(B36*100)+(C36*0))</f>
        <v/>
      </c>
      <c r="AI36" s="54">
        <f>IF(A36="",0,(B36*10)+(C36*0))</f>
        <v/>
      </c>
      <c r="AJ36" s="54">
        <f>IF(A36="",0,(B36*50)+(C36*0))</f>
        <v/>
      </c>
      <c r="AK36" s="54">
        <f>IF(A36="",0,(B36*20)+(C36*0))</f>
        <v/>
      </c>
      <c r="AL36" s="54">
        <f>IF(A36="",0,(B36*60)+(C36*0))</f>
        <v/>
      </c>
      <c r="AM36" s="54">
        <f>IF(A36="",0,(B36*4)+(C36*4))</f>
        <v/>
      </c>
      <c r="AN36" s="54">
        <f>IF(A36="",0,(B36*4)+(C36*4))</f>
        <v/>
      </c>
      <c r="AO36" s="54">
        <f>IF(A36="",0,(B36*6)+(C36*0))</f>
        <v/>
      </c>
      <c r="AP36" s="54">
        <f>IF(A36="",0,(B36*4)+(C36*10))</f>
        <v/>
      </c>
      <c r="AQ36" s="54">
        <f>IF(A36="",0,(B36*65)+(C36*80))</f>
        <v/>
      </c>
      <c r="AR36" s="54">
        <f>IF(A36="",0,(B36*0)+(C36*5))</f>
        <v/>
      </c>
      <c r="AS36" s="54">
        <f>IF(A36="",0,(B36*0)+(C36*50))</f>
        <v/>
      </c>
      <c r="AT36" s="54">
        <f>IF(A36="",0,(G36*25.51+N36*30+S36*7.5)/1000)</f>
        <v/>
      </c>
      <c r="AU36" s="54">
        <f>IF(A36="",0,(H36*21.74+V36*7.5)/1000)</f>
        <v/>
      </c>
      <c r="AV36" s="54">
        <f>IF(A36="",0,(G36*0.71)/1000)</f>
        <v/>
      </c>
      <c r="AW36" s="54">
        <f>IF(A36="",0,(AB36*5)/1000)</f>
        <v/>
      </c>
      <c r="AX36" s="54">
        <f>IF(A36="",0,(Y36*7)/1000)</f>
        <v/>
      </c>
      <c r="AY36" s="54">
        <f>IF(A36="",0,(AE36*7)/1000)</f>
        <v/>
      </c>
      <c r="AZ36" s="54">
        <f>IF(A36="",0,ROUNDUP((H36+N36)/115,0)*1.5)</f>
        <v/>
      </c>
      <c r="BA36" s="54">
        <f>IF(A36="",0,ROUNDUP((H36+N36)/115,0)*20)</f>
        <v/>
      </c>
      <c r="BB36" s="54">
        <f>IF(A36="",0,ROUNDUP((H36+N36)/115,0)*80)</f>
        <v/>
      </c>
      <c r="BC36" s="54">
        <f>IF(A36="",0,ROUNDUP((H36+N36)/115,0)*5)</f>
        <v/>
      </c>
      <c r="BD36" s="54">
        <f>IF(A36="",0,ROUNDUP((H36+N36)/115,0)*2.5)</f>
        <v/>
      </c>
    </row>
    <row r="37">
      <c r="A37" s="127" t="n"/>
      <c r="B37" s="128" t="n"/>
      <c r="C37" s="128" t="n"/>
      <c r="D37" s="116">
        <f>IF(A37="","",B37*1508)</f>
        <v/>
      </c>
      <c r="E37" s="128" t="n"/>
      <c r="F37" s="128" t="n"/>
      <c r="G37" s="128" t="n"/>
      <c r="H37" s="128" t="n"/>
      <c r="I37" s="116">
        <f>IF(A37="","",MAX((E37/2)-G37,0))</f>
        <v/>
      </c>
      <c r="J37" s="117">
        <f>IF(OR(A37="",E37=0),"",I37/(E37/2))</f>
        <v/>
      </c>
      <c r="K37" s="116">
        <f>IF(A37="","",MAX((F37/2)-H37,0))</f>
        <v/>
      </c>
      <c r="L37" s="117">
        <f>IF(OR(A37="",F37=0),"",K37/(F37/2))</f>
        <v/>
      </c>
      <c r="M37" s="128" t="n"/>
      <c r="N37" s="128" t="n"/>
      <c r="O37" s="116">
        <f>IF(A37="","",MAX((M37/3)-N37,0))</f>
        <v/>
      </c>
      <c r="P37" s="117">
        <f>IF(OR(A37="",M37=0),"",O37/(M37/3))</f>
        <v/>
      </c>
      <c r="Q37" s="116">
        <f>IF(A37="","",C37*1508)</f>
        <v/>
      </c>
      <c r="R37" s="128" t="n"/>
      <c r="S37" s="128" t="n"/>
      <c r="T37" s="117">
        <f>IF(OR(A37="",R37=0),"",MAX(R37-S37,0)/R37)</f>
        <v/>
      </c>
      <c r="U37" s="128" t="n"/>
      <c r="V37" s="128" t="n"/>
      <c r="W37" s="117">
        <f>IF(OR(A37="",U37=0),"",MAX(U37-V37,0)/U37)</f>
        <v/>
      </c>
      <c r="X37" s="128" t="n"/>
      <c r="Y37" s="128" t="n"/>
      <c r="Z37" s="117">
        <f>IF(OR(A37="",X37=0),"",MAX(X37-Y37,0)/X37)</f>
        <v/>
      </c>
      <c r="AA37" s="128" t="n"/>
      <c r="AB37" s="128" t="n"/>
      <c r="AC37" s="117">
        <f>IF(OR(A37="",AA37=0),"",MAX(AA37-AB37,0)/AA37)</f>
        <v/>
      </c>
      <c r="AD37" s="128" t="n"/>
      <c r="AE37" s="128" t="n"/>
      <c r="AF37" s="117">
        <f>IF(OR(A37="",AD37=0),"",MAX(AD37-AE37,0)/AD37)</f>
        <v/>
      </c>
      <c r="AG37" s="54">
        <f>IF(A37="",0,(B37*40)+(C37*40))</f>
        <v/>
      </c>
      <c r="AH37" s="54">
        <f>IF(A37="",0,(B37*100)+(C37*0))</f>
        <v/>
      </c>
      <c r="AI37" s="54">
        <f>IF(A37="",0,(B37*10)+(C37*0))</f>
        <v/>
      </c>
      <c r="AJ37" s="54">
        <f>IF(A37="",0,(B37*50)+(C37*0))</f>
        <v/>
      </c>
      <c r="AK37" s="54">
        <f>IF(A37="",0,(B37*20)+(C37*0))</f>
        <v/>
      </c>
      <c r="AL37" s="54">
        <f>IF(A37="",0,(B37*60)+(C37*0))</f>
        <v/>
      </c>
      <c r="AM37" s="54">
        <f>IF(A37="",0,(B37*4)+(C37*4))</f>
        <v/>
      </c>
      <c r="AN37" s="54">
        <f>IF(A37="",0,(B37*4)+(C37*4))</f>
        <v/>
      </c>
      <c r="AO37" s="54">
        <f>IF(A37="",0,(B37*6)+(C37*0))</f>
        <v/>
      </c>
      <c r="AP37" s="54">
        <f>IF(A37="",0,(B37*4)+(C37*10))</f>
        <v/>
      </c>
      <c r="AQ37" s="54">
        <f>IF(A37="",0,(B37*65)+(C37*80))</f>
        <v/>
      </c>
      <c r="AR37" s="54">
        <f>IF(A37="",0,(B37*0)+(C37*5))</f>
        <v/>
      </c>
      <c r="AS37" s="54">
        <f>IF(A37="",0,(B37*0)+(C37*50))</f>
        <v/>
      </c>
      <c r="AT37" s="54">
        <f>IF(A37="",0,(G37*25.51+N37*30+S37*7.5)/1000)</f>
        <v/>
      </c>
      <c r="AU37" s="54">
        <f>IF(A37="",0,(H37*21.74+V37*7.5)/1000)</f>
        <v/>
      </c>
      <c r="AV37" s="54">
        <f>IF(A37="",0,(G37*0.71)/1000)</f>
        <v/>
      </c>
      <c r="AW37" s="54">
        <f>IF(A37="",0,(AB37*5)/1000)</f>
        <v/>
      </c>
      <c r="AX37" s="54">
        <f>IF(A37="",0,(Y37*7)/1000)</f>
        <v/>
      </c>
      <c r="AY37" s="54">
        <f>IF(A37="",0,(AE37*7)/1000)</f>
        <v/>
      </c>
      <c r="AZ37" s="54">
        <f>IF(A37="",0,ROUNDUP((H37+N37)/115,0)*1.5)</f>
        <v/>
      </c>
      <c r="BA37" s="54">
        <f>IF(A37="",0,ROUNDUP((H37+N37)/115,0)*20)</f>
        <v/>
      </c>
      <c r="BB37" s="54">
        <f>IF(A37="",0,ROUNDUP((H37+N37)/115,0)*80)</f>
        <v/>
      </c>
      <c r="BC37" s="54">
        <f>IF(A37="",0,ROUNDUP((H37+N37)/115,0)*5)</f>
        <v/>
      </c>
      <c r="BD37" s="54">
        <f>IF(A37="",0,ROUNDUP((H37+N37)/115,0)*2.5)</f>
        <v/>
      </c>
    </row>
    <row r="38">
      <c r="A38" s="127" t="n"/>
      <c r="B38" s="128" t="n"/>
      <c r="C38" s="128" t="n"/>
      <c r="D38" s="116">
        <f>IF(A38="","",B38*1508)</f>
        <v/>
      </c>
      <c r="E38" s="128" t="n"/>
      <c r="F38" s="128" t="n"/>
      <c r="G38" s="128" t="n"/>
      <c r="H38" s="128" t="n"/>
      <c r="I38" s="116">
        <f>IF(A38="","",MAX((E38/2)-G38,0))</f>
        <v/>
      </c>
      <c r="J38" s="117">
        <f>IF(OR(A38="",E38=0),"",I38/(E38/2))</f>
        <v/>
      </c>
      <c r="K38" s="116">
        <f>IF(A38="","",MAX((F38/2)-H38,0))</f>
        <v/>
      </c>
      <c r="L38" s="117">
        <f>IF(OR(A38="",F38=0),"",K38/(F38/2))</f>
        <v/>
      </c>
      <c r="M38" s="128" t="n"/>
      <c r="N38" s="128" t="n"/>
      <c r="O38" s="116">
        <f>IF(A38="","",MAX((M38/3)-N38,0))</f>
        <v/>
      </c>
      <c r="P38" s="117">
        <f>IF(OR(A38="",M38=0),"",O38/(M38/3))</f>
        <v/>
      </c>
      <c r="Q38" s="116">
        <f>IF(A38="","",C38*1508)</f>
        <v/>
      </c>
      <c r="R38" s="128" t="n"/>
      <c r="S38" s="128" t="n"/>
      <c r="T38" s="117">
        <f>IF(OR(A38="",R38=0),"",MAX(R38-S38,0)/R38)</f>
        <v/>
      </c>
      <c r="U38" s="128" t="n"/>
      <c r="V38" s="128" t="n"/>
      <c r="W38" s="117">
        <f>IF(OR(A38="",U38=0),"",MAX(U38-V38,0)/U38)</f>
        <v/>
      </c>
      <c r="X38" s="128" t="n"/>
      <c r="Y38" s="128" t="n"/>
      <c r="Z38" s="117">
        <f>IF(OR(A38="",X38=0),"",MAX(X38-Y38,0)/X38)</f>
        <v/>
      </c>
      <c r="AA38" s="128" t="n"/>
      <c r="AB38" s="128" t="n"/>
      <c r="AC38" s="117">
        <f>IF(OR(A38="",AA38=0),"",MAX(AA38-AB38,0)/AA38)</f>
        <v/>
      </c>
      <c r="AD38" s="128" t="n"/>
      <c r="AE38" s="128" t="n"/>
      <c r="AF38" s="117">
        <f>IF(OR(A38="",AD38=0),"",MAX(AD38-AE38,0)/AD38)</f>
        <v/>
      </c>
      <c r="AG38" s="54">
        <f>IF(A38="",0,(B38*40)+(C38*40))</f>
        <v/>
      </c>
      <c r="AH38" s="54">
        <f>IF(A38="",0,(B38*100)+(C38*0))</f>
        <v/>
      </c>
      <c r="AI38" s="54">
        <f>IF(A38="",0,(B38*10)+(C38*0))</f>
        <v/>
      </c>
      <c r="AJ38" s="54">
        <f>IF(A38="",0,(B38*50)+(C38*0))</f>
        <v/>
      </c>
      <c r="AK38" s="54">
        <f>IF(A38="",0,(B38*20)+(C38*0))</f>
        <v/>
      </c>
      <c r="AL38" s="54">
        <f>IF(A38="",0,(B38*60)+(C38*0))</f>
        <v/>
      </c>
      <c r="AM38" s="54">
        <f>IF(A38="",0,(B38*4)+(C38*4))</f>
        <v/>
      </c>
      <c r="AN38" s="54">
        <f>IF(A38="",0,(B38*4)+(C38*4))</f>
        <v/>
      </c>
      <c r="AO38" s="54">
        <f>IF(A38="",0,(B38*6)+(C38*0))</f>
        <v/>
      </c>
      <c r="AP38" s="54">
        <f>IF(A38="",0,(B38*4)+(C38*10))</f>
        <v/>
      </c>
      <c r="AQ38" s="54">
        <f>IF(A38="",0,(B38*65)+(C38*80))</f>
        <v/>
      </c>
      <c r="AR38" s="54">
        <f>IF(A38="",0,(B38*0)+(C38*5))</f>
        <v/>
      </c>
      <c r="AS38" s="54">
        <f>IF(A38="",0,(B38*0)+(C38*50))</f>
        <v/>
      </c>
      <c r="AT38" s="54">
        <f>IF(A38="",0,(G38*25.51+N38*30+S38*7.5)/1000)</f>
        <v/>
      </c>
      <c r="AU38" s="54">
        <f>IF(A38="",0,(H38*21.74+V38*7.5)/1000)</f>
        <v/>
      </c>
      <c r="AV38" s="54">
        <f>IF(A38="",0,(G38*0.71)/1000)</f>
        <v/>
      </c>
      <c r="AW38" s="54">
        <f>IF(A38="",0,(AB38*5)/1000)</f>
        <v/>
      </c>
      <c r="AX38" s="54">
        <f>IF(A38="",0,(Y38*7)/1000)</f>
        <v/>
      </c>
      <c r="AY38" s="54">
        <f>IF(A38="",0,(AE38*7)/1000)</f>
        <v/>
      </c>
      <c r="AZ38" s="54">
        <f>IF(A38="",0,ROUNDUP((H38+N38)/115,0)*1.5)</f>
        <v/>
      </c>
      <c r="BA38" s="54">
        <f>IF(A38="",0,ROUNDUP((H38+N38)/115,0)*20)</f>
        <v/>
      </c>
      <c r="BB38" s="54">
        <f>IF(A38="",0,ROUNDUP((H38+N38)/115,0)*80)</f>
        <v/>
      </c>
      <c r="BC38" s="54">
        <f>IF(A38="",0,ROUNDUP((H38+N38)/115,0)*5)</f>
        <v/>
      </c>
      <c r="BD38" s="54">
        <f>IF(A38="",0,ROUNDUP((H38+N38)/115,0)*2.5)</f>
        <v/>
      </c>
    </row>
    <row r="39">
      <c r="A39" s="127" t="n"/>
      <c r="B39" s="128" t="n"/>
      <c r="C39" s="128" t="n"/>
      <c r="D39" s="116">
        <f>IF(A39="","",B39*1508)</f>
        <v/>
      </c>
      <c r="E39" s="128" t="n"/>
      <c r="F39" s="128" t="n"/>
      <c r="G39" s="128" t="n"/>
      <c r="H39" s="128" t="n"/>
      <c r="I39" s="116">
        <f>IF(A39="","",MAX((E39/2)-G39,0))</f>
        <v/>
      </c>
      <c r="J39" s="117">
        <f>IF(OR(A39="",E39=0),"",I39/(E39/2))</f>
        <v/>
      </c>
      <c r="K39" s="116">
        <f>IF(A39="","",MAX((F39/2)-H39,0))</f>
        <v/>
      </c>
      <c r="L39" s="117">
        <f>IF(OR(A39="",F39=0),"",K39/(F39/2))</f>
        <v/>
      </c>
      <c r="M39" s="128" t="n"/>
      <c r="N39" s="128" t="n"/>
      <c r="O39" s="116">
        <f>IF(A39="","",MAX((M39/3)-N39,0))</f>
        <v/>
      </c>
      <c r="P39" s="117">
        <f>IF(OR(A39="",M39=0),"",O39/(M39/3))</f>
        <v/>
      </c>
      <c r="Q39" s="116">
        <f>IF(A39="","",C39*1508)</f>
        <v/>
      </c>
      <c r="R39" s="128" t="n"/>
      <c r="S39" s="128" t="n"/>
      <c r="T39" s="117">
        <f>IF(OR(A39="",R39=0),"",MAX(R39-S39,0)/R39)</f>
        <v/>
      </c>
      <c r="U39" s="128" t="n"/>
      <c r="V39" s="128" t="n"/>
      <c r="W39" s="117">
        <f>IF(OR(A39="",U39=0),"",MAX(U39-V39,0)/U39)</f>
        <v/>
      </c>
      <c r="X39" s="128" t="n"/>
      <c r="Y39" s="128" t="n"/>
      <c r="Z39" s="117">
        <f>IF(OR(A39="",X39=0),"",MAX(X39-Y39,0)/X39)</f>
        <v/>
      </c>
      <c r="AA39" s="128" t="n"/>
      <c r="AB39" s="128" t="n"/>
      <c r="AC39" s="117">
        <f>IF(OR(A39="",AA39=0),"",MAX(AA39-AB39,0)/AA39)</f>
        <v/>
      </c>
      <c r="AD39" s="128" t="n"/>
      <c r="AE39" s="128" t="n"/>
      <c r="AF39" s="117">
        <f>IF(OR(A39="",AD39=0),"",MAX(AD39-AE39,0)/AD39)</f>
        <v/>
      </c>
      <c r="AG39" s="54">
        <f>IF(A39="",0,(B39*40)+(C39*40))</f>
        <v/>
      </c>
      <c r="AH39" s="54">
        <f>IF(A39="",0,(B39*100)+(C39*0))</f>
        <v/>
      </c>
      <c r="AI39" s="54">
        <f>IF(A39="",0,(B39*10)+(C39*0))</f>
        <v/>
      </c>
      <c r="AJ39" s="54">
        <f>IF(A39="",0,(B39*50)+(C39*0))</f>
        <v/>
      </c>
      <c r="AK39" s="54">
        <f>IF(A39="",0,(B39*20)+(C39*0))</f>
        <v/>
      </c>
      <c r="AL39" s="54">
        <f>IF(A39="",0,(B39*60)+(C39*0))</f>
        <v/>
      </c>
      <c r="AM39" s="54">
        <f>IF(A39="",0,(B39*4)+(C39*4))</f>
        <v/>
      </c>
      <c r="AN39" s="54">
        <f>IF(A39="",0,(B39*4)+(C39*4))</f>
        <v/>
      </c>
      <c r="AO39" s="54">
        <f>IF(A39="",0,(B39*6)+(C39*0))</f>
        <v/>
      </c>
      <c r="AP39" s="54">
        <f>IF(A39="",0,(B39*4)+(C39*10))</f>
        <v/>
      </c>
      <c r="AQ39" s="54">
        <f>IF(A39="",0,(B39*65)+(C39*80))</f>
        <v/>
      </c>
      <c r="AR39" s="54">
        <f>IF(A39="",0,(B39*0)+(C39*5))</f>
        <v/>
      </c>
      <c r="AS39" s="54">
        <f>IF(A39="",0,(B39*0)+(C39*50))</f>
        <v/>
      </c>
      <c r="AT39" s="54">
        <f>IF(A39="",0,(G39*25.51+N39*30+S39*7.5)/1000)</f>
        <v/>
      </c>
      <c r="AU39" s="54">
        <f>IF(A39="",0,(H39*21.74+V39*7.5)/1000)</f>
        <v/>
      </c>
      <c r="AV39" s="54">
        <f>IF(A39="",0,(G39*0.71)/1000)</f>
        <v/>
      </c>
      <c r="AW39" s="54">
        <f>IF(A39="",0,(AB39*5)/1000)</f>
        <v/>
      </c>
      <c r="AX39" s="54">
        <f>IF(A39="",0,(Y39*7)/1000)</f>
        <v/>
      </c>
      <c r="AY39" s="54">
        <f>IF(A39="",0,(AE39*7)/1000)</f>
        <v/>
      </c>
      <c r="AZ39" s="54">
        <f>IF(A39="",0,ROUNDUP((H39+N39)/115,0)*1.5)</f>
        <v/>
      </c>
      <c r="BA39" s="54">
        <f>IF(A39="",0,ROUNDUP((H39+N39)/115,0)*20)</f>
        <v/>
      </c>
      <c r="BB39" s="54">
        <f>IF(A39="",0,ROUNDUP((H39+N39)/115,0)*80)</f>
        <v/>
      </c>
      <c r="BC39" s="54">
        <f>IF(A39="",0,ROUNDUP((H39+N39)/115,0)*5)</f>
        <v/>
      </c>
      <c r="BD39" s="54">
        <f>IF(A39="",0,ROUNDUP((H39+N39)/115,0)*2.5)</f>
        <v/>
      </c>
    </row>
    <row r="40">
      <c r="A40" s="127" t="n"/>
      <c r="B40" s="128" t="n"/>
      <c r="C40" s="128" t="n"/>
      <c r="D40" s="116">
        <f>IF(A40="","",B40*1508)</f>
        <v/>
      </c>
      <c r="E40" s="128" t="n"/>
      <c r="F40" s="128" t="n"/>
      <c r="G40" s="128" t="n"/>
      <c r="H40" s="128" t="n"/>
      <c r="I40" s="116">
        <f>IF(A40="","",MAX((E40/2)-G40,0))</f>
        <v/>
      </c>
      <c r="J40" s="117">
        <f>IF(OR(A40="",E40=0),"",I40/(E40/2))</f>
        <v/>
      </c>
      <c r="K40" s="116">
        <f>IF(A40="","",MAX((F40/2)-H40,0))</f>
        <v/>
      </c>
      <c r="L40" s="117">
        <f>IF(OR(A40="",F40=0),"",K40/(F40/2))</f>
        <v/>
      </c>
      <c r="M40" s="128" t="n"/>
      <c r="N40" s="128" t="n"/>
      <c r="O40" s="116">
        <f>IF(A40="","",MAX((M40/3)-N40,0))</f>
        <v/>
      </c>
      <c r="P40" s="117">
        <f>IF(OR(A40="",M40=0),"",O40/(M40/3))</f>
        <v/>
      </c>
      <c r="Q40" s="116">
        <f>IF(A40="","",C40*1508)</f>
        <v/>
      </c>
      <c r="R40" s="128" t="n"/>
      <c r="S40" s="128" t="n"/>
      <c r="T40" s="117">
        <f>IF(OR(A40="",R40=0),"",MAX(R40-S40,0)/R40)</f>
        <v/>
      </c>
      <c r="U40" s="128" t="n"/>
      <c r="V40" s="128" t="n"/>
      <c r="W40" s="117">
        <f>IF(OR(A40="",U40=0),"",MAX(U40-V40,0)/U40)</f>
        <v/>
      </c>
      <c r="X40" s="128" t="n"/>
      <c r="Y40" s="128" t="n"/>
      <c r="Z40" s="117">
        <f>IF(OR(A40="",X40=0),"",MAX(X40-Y40,0)/X40)</f>
        <v/>
      </c>
      <c r="AA40" s="128" t="n"/>
      <c r="AB40" s="128" t="n"/>
      <c r="AC40" s="117">
        <f>IF(OR(A40="",AA40=0),"",MAX(AA40-AB40,0)/AA40)</f>
        <v/>
      </c>
      <c r="AD40" s="128" t="n"/>
      <c r="AE40" s="128" t="n"/>
      <c r="AF40" s="117">
        <f>IF(OR(A40="",AD40=0),"",MAX(AD40-AE40,0)/AD40)</f>
        <v/>
      </c>
      <c r="AG40" s="54">
        <f>IF(A40="",0,(B40*40)+(C40*40))</f>
        <v/>
      </c>
      <c r="AH40" s="54">
        <f>IF(A40="",0,(B40*100)+(C40*0))</f>
        <v/>
      </c>
      <c r="AI40" s="54">
        <f>IF(A40="",0,(B40*10)+(C40*0))</f>
        <v/>
      </c>
      <c r="AJ40" s="54">
        <f>IF(A40="",0,(B40*50)+(C40*0))</f>
        <v/>
      </c>
      <c r="AK40" s="54">
        <f>IF(A40="",0,(B40*20)+(C40*0))</f>
        <v/>
      </c>
      <c r="AL40" s="54">
        <f>IF(A40="",0,(B40*60)+(C40*0))</f>
        <v/>
      </c>
      <c r="AM40" s="54">
        <f>IF(A40="",0,(B40*4)+(C40*4))</f>
        <v/>
      </c>
      <c r="AN40" s="54">
        <f>IF(A40="",0,(B40*4)+(C40*4))</f>
        <v/>
      </c>
      <c r="AO40" s="54">
        <f>IF(A40="",0,(B40*6)+(C40*0))</f>
        <v/>
      </c>
      <c r="AP40" s="54">
        <f>IF(A40="",0,(B40*4)+(C40*10))</f>
        <v/>
      </c>
      <c r="AQ40" s="54">
        <f>IF(A40="",0,(B40*65)+(C40*80))</f>
        <v/>
      </c>
      <c r="AR40" s="54">
        <f>IF(A40="",0,(B40*0)+(C40*5))</f>
        <v/>
      </c>
      <c r="AS40" s="54">
        <f>IF(A40="",0,(B40*0)+(C40*50))</f>
        <v/>
      </c>
      <c r="AT40" s="54">
        <f>IF(A40="",0,(G40*25.51+N40*30+S40*7.5)/1000)</f>
        <v/>
      </c>
      <c r="AU40" s="54">
        <f>IF(A40="",0,(H40*21.74+V40*7.5)/1000)</f>
        <v/>
      </c>
      <c r="AV40" s="54">
        <f>IF(A40="",0,(G40*0.71)/1000)</f>
        <v/>
      </c>
      <c r="AW40" s="54">
        <f>IF(A40="",0,(AB40*5)/1000)</f>
        <v/>
      </c>
      <c r="AX40" s="54">
        <f>IF(A40="",0,(Y40*7)/1000)</f>
        <v/>
      </c>
      <c r="AY40" s="54">
        <f>IF(A40="",0,(AE40*7)/1000)</f>
        <v/>
      </c>
      <c r="AZ40" s="54">
        <f>IF(A40="",0,ROUNDUP((H40+N40)/115,0)*1.5)</f>
        <v/>
      </c>
      <c r="BA40" s="54">
        <f>IF(A40="",0,ROUNDUP((H40+N40)/115,0)*20)</f>
        <v/>
      </c>
      <c r="BB40" s="54">
        <f>IF(A40="",0,ROUNDUP((H40+N40)/115,0)*80)</f>
        <v/>
      </c>
      <c r="BC40" s="54">
        <f>IF(A40="",0,ROUNDUP((H40+N40)/115,0)*5)</f>
        <v/>
      </c>
      <c r="BD40" s="54">
        <f>IF(A40="",0,ROUNDUP((H40+N40)/115,0)*2.5)</f>
        <v/>
      </c>
    </row>
    <row r="41">
      <c r="A41" s="127" t="n"/>
      <c r="B41" s="128" t="n"/>
      <c r="C41" s="128" t="n"/>
      <c r="D41" s="116">
        <f>IF(A41="","",B41*1508)</f>
        <v/>
      </c>
      <c r="E41" s="128" t="n"/>
      <c r="F41" s="128" t="n"/>
      <c r="G41" s="128" t="n"/>
      <c r="H41" s="128" t="n"/>
      <c r="I41" s="116">
        <f>IF(A41="","",MAX((E41/2)-G41,0))</f>
        <v/>
      </c>
      <c r="J41" s="117">
        <f>IF(OR(A41="",E41=0),"",I41/(E41/2))</f>
        <v/>
      </c>
      <c r="K41" s="116">
        <f>IF(A41="","",MAX((F41/2)-H41,0))</f>
        <v/>
      </c>
      <c r="L41" s="117">
        <f>IF(OR(A41="",F41=0),"",K41/(F41/2))</f>
        <v/>
      </c>
      <c r="M41" s="128" t="n"/>
      <c r="N41" s="128" t="n"/>
      <c r="O41" s="116">
        <f>IF(A41="","",MAX((M41/3)-N41,0))</f>
        <v/>
      </c>
      <c r="P41" s="117">
        <f>IF(OR(A41="",M41=0),"",O41/(M41/3))</f>
        <v/>
      </c>
      <c r="Q41" s="116">
        <f>IF(A41="","",C41*1508)</f>
        <v/>
      </c>
      <c r="R41" s="128" t="n"/>
      <c r="S41" s="128" t="n"/>
      <c r="T41" s="117">
        <f>IF(OR(A41="",R41=0),"",MAX(R41-S41,0)/R41)</f>
        <v/>
      </c>
      <c r="U41" s="128" t="n"/>
      <c r="V41" s="128" t="n"/>
      <c r="W41" s="117">
        <f>IF(OR(A41="",U41=0),"",MAX(U41-V41,0)/U41)</f>
        <v/>
      </c>
      <c r="X41" s="128" t="n"/>
      <c r="Y41" s="128" t="n"/>
      <c r="Z41" s="117">
        <f>IF(OR(A41="",X41=0),"",MAX(X41-Y41,0)/X41)</f>
        <v/>
      </c>
      <c r="AA41" s="128" t="n"/>
      <c r="AB41" s="128" t="n"/>
      <c r="AC41" s="117">
        <f>IF(OR(A41="",AA41=0),"",MAX(AA41-AB41,0)/AA41)</f>
        <v/>
      </c>
      <c r="AD41" s="128" t="n"/>
      <c r="AE41" s="128" t="n"/>
      <c r="AF41" s="117">
        <f>IF(OR(A41="",AD41=0),"",MAX(AD41-AE41,0)/AD41)</f>
        <v/>
      </c>
      <c r="AG41" s="54">
        <f>IF(A41="",0,(B41*40)+(C41*40))</f>
        <v/>
      </c>
      <c r="AH41" s="54">
        <f>IF(A41="",0,(B41*100)+(C41*0))</f>
        <v/>
      </c>
      <c r="AI41" s="54">
        <f>IF(A41="",0,(B41*10)+(C41*0))</f>
        <v/>
      </c>
      <c r="AJ41" s="54">
        <f>IF(A41="",0,(B41*50)+(C41*0))</f>
        <v/>
      </c>
      <c r="AK41" s="54">
        <f>IF(A41="",0,(B41*20)+(C41*0))</f>
        <v/>
      </c>
      <c r="AL41" s="54">
        <f>IF(A41="",0,(B41*60)+(C41*0))</f>
        <v/>
      </c>
      <c r="AM41" s="54">
        <f>IF(A41="",0,(B41*4)+(C41*4))</f>
        <v/>
      </c>
      <c r="AN41" s="54">
        <f>IF(A41="",0,(B41*4)+(C41*4))</f>
        <v/>
      </c>
      <c r="AO41" s="54">
        <f>IF(A41="",0,(B41*6)+(C41*0))</f>
        <v/>
      </c>
      <c r="AP41" s="54">
        <f>IF(A41="",0,(B41*4)+(C41*10))</f>
        <v/>
      </c>
      <c r="AQ41" s="54">
        <f>IF(A41="",0,(B41*65)+(C41*80))</f>
        <v/>
      </c>
      <c r="AR41" s="54">
        <f>IF(A41="",0,(B41*0)+(C41*5))</f>
        <v/>
      </c>
      <c r="AS41" s="54">
        <f>IF(A41="",0,(B41*0)+(C41*50))</f>
        <v/>
      </c>
      <c r="AT41" s="54">
        <f>IF(A41="",0,(G41*25.51+N41*30+S41*7.5)/1000)</f>
        <v/>
      </c>
      <c r="AU41" s="54">
        <f>IF(A41="",0,(H41*21.74+V41*7.5)/1000)</f>
        <v/>
      </c>
      <c r="AV41" s="54">
        <f>IF(A41="",0,(G41*0.71)/1000)</f>
        <v/>
      </c>
      <c r="AW41" s="54">
        <f>IF(A41="",0,(AB41*5)/1000)</f>
        <v/>
      </c>
      <c r="AX41" s="54">
        <f>IF(A41="",0,(Y41*7)/1000)</f>
        <v/>
      </c>
      <c r="AY41" s="54">
        <f>IF(A41="",0,(AE41*7)/1000)</f>
        <v/>
      </c>
      <c r="AZ41" s="54">
        <f>IF(A41="",0,ROUNDUP((H41+N41)/115,0)*1.5)</f>
        <v/>
      </c>
      <c r="BA41" s="54">
        <f>IF(A41="",0,ROUNDUP((H41+N41)/115,0)*20)</f>
        <v/>
      </c>
      <c r="BB41" s="54">
        <f>IF(A41="",0,ROUNDUP((H41+N41)/115,0)*80)</f>
        <v/>
      </c>
      <c r="BC41" s="54">
        <f>IF(A41="",0,ROUNDUP((H41+N41)/115,0)*5)</f>
        <v/>
      </c>
      <c r="BD41" s="54">
        <f>IF(A41="",0,ROUNDUP((H41+N41)/115,0)*2.5)</f>
        <v/>
      </c>
    </row>
    <row r="42">
      <c r="A42" s="127" t="n"/>
      <c r="B42" s="128" t="n"/>
      <c r="C42" s="128" t="n"/>
      <c r="D42" s="116">
        <f>IF(A42="","",B42*1508)</f>
        <v/>
      </c>
      <c r="E42" s="128" t="n"/>
      <c r="F42" s="128" t="n"/>
      <c r="G42" s="128" t="n"/>
      <c r="H42" s="128" t="n"/>
      <c r="I42" s="116">
        <f>IF(A42="","",MAX((E42/2)-G42,0))</f>
        <v/>
      </c>
      <c r="J42" s="117">
        <f>IF(OR(A42="",E42=0),"",I42/(E42/2))</f>
        <v/>
      </c>
      <c r="K42" s="116">
        <f>IF(A42="","",MAX((F42/2)-H42,0))</f>
        <v/>
      </c>
      <c r="L42" s="117">
        <f>IF(OR(A42="",F42=0),"",K42/(F42/2))</f>
        <v/>
      </c>
      <c r="M42" s="128" t="n"/>
      <c r="N42" s="128" t="n"/>
      <c r="O42" s="116">
        <f>IF(A42="","",MAX((M42/3)-N42,0))</f>
        <v/>
      </c>
      <c r="P42" s="117">
        <f>IF(OR(A42="",M42=0),"",O42/(M42/3))</f>
        <v/>
      </c>
      <c r="Q42" s="116">
        <f>IF(A42="","",C42*1508)</f>
        <v/>
      </c>
      <c r="R42" s="128" t="n"/>
      <c r="S42" s="128" t="n"/>
      <c r="T42" s="117">
        <f>IF(OR(A42="",R42=0),"",MAX(R42-S42,0)/R42)</f>
        <v/>
      </c>
      <c r="U42" s="128" t="n"/>
      <c r="V42" s="128" t="n"/>
      <c r="W42" s="117">
        <f>IF(OR(A42="",U42=0),"",MAX(U42-V42,0)/U42)</f>
        <v/>
      </c>
      <c r="X42" s="128" t="n"/>
      <c r="Y42" s="128" t="n"/>
      <c r="Z42" s="117">
        <f>IF(OR(A42="",X42=0),"",MAX(X42-Y42,0)/X42)</f>
        <v/>
      </c>
      <c r="AA42" s="128" t="n"/>
      <c r="AB42" s="128" t="n"/>
      <c r="AC42" s="117">
        <f>IF(OR(A42="",AA42=0),"",MAX(AA42-AB42,0)/AA42)</f>
        <v/>
      </c>
      <c r="AD42" s="128" t="n"/>
      <c r="AE42" s="128" t="n"/>
      <c r="AF42" s="117">
        <f>IF(OR(A42="",AD42=0),"",MAX(AD42-AE42,0)/AD42)</f>
        <v/>
      </c>
      <c r="AG42" s="54">
        <f>IF(A42="",0,(B42*40)+(C42*40))</f>
        <v/>
      </c>
      <c r="AH42" s="54">
        <f>IF(A42="",0,(B42*100)+(C42*0))</f>
        <v/>
      </c>
      <c r="AI42" s="54">
        <f>IF(A42="",0,(B42*10)+(C42*0))</f>
        <v/>
      </c>
      <c r="AJ42" s="54">
        <f>IF(A42="",0,(B42*50)+(C42*0))</f>
        <v/>
      </c>
      <c r="AK42" s="54">
        <f>IF(A42="",0,(B42*20)+(C42*0))</f>
        <v/>
      </c>
      <c r="AL42" s="54">
        <f>IF(A42="",0,(B42*60)+(C42*0))</f>
        <v/>
      </c>
      <c r="AM42" s="54">
        <f>IF(A42="",0,(B42*4)+(C42*4))</f>
        <v/>
      </c>
      <c r="AN42" s="54">
        <f>IF(A42="",0,(B42*4)+(C42*4))</f>
        <v/>
      </c>
      <c r="AO42" s="54">
        <f>IF(A42="",0,(B42*6)+(C42*0))</f>
        <v/>
      </c>
      <c r="AP42" s="54">
        <f>IF(A42="",0,(B42*4)+(C42*10))</f>
        <v/>
      </c>
      <c r="AQ42" s="54">
        <f>IF(A42="",0,(B42*65)+(C42*80))</f>
        <v/>
      </c>
      <c r="AR42" s="54">
        <f>IF(A42="",0,(B42*0)+(C42*5))</f>
        <v/>
      </c>
      <c r="AS42" s="54">
        <f>IF(A42="",0,(B42*0)+(C42*50))</f>
        <v/>
      </c>
      <c r="AT42" s="54">
        <f>IF(A42="",0,(G42*25.51+N42*30+S42*7.5)/1000)</f>
        <v/>
      </c>
      <c r="AU42" s="54">
        <f>IF(A42="",0,(H42*21.74+V42*7.5)/1000)</f>
        <v/>
      </c>
      <c r="AV42" s="54">
        <f>IF(A42="",0,(G42*0.71)/1000)</f>
        <v/>
      </c>
      <c r="AW42" s="54">
        <f>IF(A42="",0,(AB42*5)/1000)</f>
        <v/>
      </c>
      <c r="AX42" s="54">
        <f>IF(A42="",0,(Y42*7)/1000)</f>
        <v/>
      </c>
      <c r="AY42" s="54">
        <f>IF(A42="",0,(AE42*7)/1000)</f>
        <v/>
      </c>
      <c r="AZ42" s="54">
        <f>IF(A42="",0,ROUNDUP((H42+N42)/115,0)*1.5)</f>
        <v/>
      </c>
      <c r="BA42" s="54">
        <f>IF(A42="",0,ROUNDUP((H42+N42)/115,0)*20)</f>
        <v/>
      </c>
      <c r="BB42" s="54">
        <f>IF(A42="",0,ROUNDUP((H42+N42)/115,0)*80)</f>
        <v/>
      </c>
      <c r="BC42" s="54">
        <f>IF(A42="",0,ROUNDUP((H42+N42)/115,0)*5)</f>
        <v/>
      </c>
      <c r="BD42" s="54">
        <f>IF(A42="",0,ROUNDUP((H42+N42)/115,0)*2.5)</f>
        <v/>
      </c>
    </row>
    <row r="43">
      <c r="A43" s="127" t="n"/>
      <c r="B43" s="128" t="n"/>
      <c r="C43" s="128" t="n"/>
      <c r="D43" s="116">
        <f>IF(A43="","",B43*1508)</f>
        <v/>
      </c>
      <c r="E43" s="128" t="n"/>
      <c r="F43" s="128" t="n"/>
      <c r="G43" s="128" t="n"/>
      <c r="H43" s="128" t="n"/>
      <c r="I43" s="116">
        <f>IF(A43="","",MAX((E43/2)-G43,0))</f>
        <v/>
      </c>
      <c r="J43" s="117">
        <f>IF(OR(A43="",E43=0),"",I43/(E43/2))</f>
        <v/>
      </c>
      <c r="K43" s="116">
        <f>IF(A43="","",MAX((F43/2)-H43,0))</f>
        <v/>
      </c>
      <c r="L43" s="117">
        <f>IF(OR(A43="",F43=0),"",K43/(F43/2))</f>
        <v/>
      </c>
      <c r="M43" s="128" t="n"/>
      <c r="N43" s="128" t="n"/>
      <c r="O43" s="116">
        <f>IF(A43="","",MAX((M43/3)-N43,0))</f>
        <v/>
      </c>
      <c r="P43" s="117">
        <f>IF(OR(A43="",M43=0),"",O43/(M43/3))</f>
        <v/>
      </c>
      <c r="Q43" s="116">
        <f>IF(A43="","",C43*1508)</f>
        <v/>
      </c>
      <c r="R43" s="128" t="n"/>
      <c r="S43" s="128" t="n"/>
      <c r="T43" s="117">
        <f>IF(OR(A43="",R43=0),"",MAX(R43-S43,0)/R43)</f>
        <v/>
      </c>
      <c r="U43" s="128" t="n"/>
      <c r="V43" s="128" t="n"/>
      <c r="W43" s="117">
        <f>IF(OR(A43="",U43=0),"",MAX(U43-V43,0)/U43)</f>
        <v/>
      </c>
      <c r="X43" s="128" t="n"/>
      <c r="Y43" s="128" t="n"/>
      <c r="Z43" s="117">
        <f>IF(OR(A43="",X43=0),"",MAX(X43-Y43,0)/X43)</f>
        <v/>
      </c>
      <c r="AA43" s="128" t="n"/>
      <c r="AB43" s="128" t="n"/>
      <c r="AC43" s="117">
        <f>IF(OR(A43="",AA43=0),"",MAX(AA43-AB43,0)/AA43)</f>
        <v/>
      </c>
      <c r="AD43" s="128" t="n"/>
      <c r="AE43" s="128" t="n"/>
      <c r="AF43" s="117">
        <f>IF(OR(A43="",AD43=0),"",MAX(AD43-AE43,0)/AD43)</f>
        <v/>
      </c>
      <c r="AG43" s="54">
        <f>IF(A43="",0,(B43*40)+(C43*40))</f>
        <v/>
      </c>
      <c r="AH43" s="54">
        <f>IF(A43="",0,(B43*100)+(C43*0))</f>
        <v/>
      </c>
      <c r="AI43" s="54">
        <f>IF(A43="",0,(B43*10)+(C43*0))</f>
        <v/>
      </c>
      <c r="AJ43" s="54">
        <f>IF(A43="",0,(B43*50)+(C43*0))</f>
        <v/>
      </c>
      <c r="AK43" s="54">
        <f>IF(A43="",0,(B43*20)+(C43*0))</f>
        <v/>
      </c>
      <c r="AL43" s="54">
        <f>IF(A43="",0,(B43*60)+(C43*0))</f>
        <v/>
      </c>
      <c r="AM43" s="54">
        <f>IF(A43="",0,(B43*4)+(C43*4))</f>
        <v/>
      </c>
      <c r="AN43" s="54">
        <f>IF(A43="",0,(B43*4)+(C43*4))</f>
        <v/>
      </c>
      <c r="AO43" s="54">
        <f>IF(A43="",0,(B43*6)+(C43*0))</f>
        <v/>
      </c>
      <c r="AP43" s="54">
        <f>IF(A43="",0,(B43*4)+(C43*10))</f>
        <v/>
      </c>
      <c r="AQ43" s="54">
        <f>IF(A43="",0,(B43*65)+(C43*80))</f>
        <v/>
      </c>
      <c r="AR43" s="54">
        <f>IF(A43="",0,(B43*0)+(C43*5))</f>
        <v/>
      </c>
      <c r="AS43" s="54">
        <f>IF(A43="",0,(B43*0)+(C43*50))</f>
        <v/>
      </c>
      <c r="AT43" s="54">
        <f>IF(A43="",0,(G43*25.51+N43*30+S43*7.5)/1000)</f>
        <v/>
      </c>
      <c r="AU43" s="54">
        <f>IF(A43="",0,(H43*21.74+V43*7.5)/1000)</f>
        <v/>
      </c>
      <c r="AV43" s="54">
        <f>IF(A43="",0,(G43*0.71)/1000)</f>
        <v/>
      </c>
      <c r="AW43" s="54">
        <f>IF(A43="",0,(AB43*5)/1000)</f>
        <v/>
      </c>
      <c r="AX43" s="54">
        <f>IF(A43="",0,(Y43*7)/1000)</f>
        <v/>
      </c>
      <c r="AY43" s="54">
        <f>IF(A43="",0,(AE43*7)/1000)</f>
        <v/>
      </c>
      <c r="AZ43" s="54">
        <f>IF(A43="",0,ROUNDUP((H43+N43)/115,0)*1.5)</f>
        <v/>
      </c>
      <c r="BA43" s="54">
        <f>IF(A43="",0,ROUNDUP((H43+N43)/115,0)*20)</f>
        <v/>
      </c>
      <c r="BB43" s="54">
        <f>IF(A43="",0,ROUNDUP((H43+N43)/115,0)*80)</f>
        <v/>
      </c>
      <c r="BC43" s="54">
        <f>IF(A43="",0,ROUNDUP((H43+N43)/115,0)*5)</f>
        <v/>
      </c>
      <c r="BD43" s="54">
        <f>IF(A43="",0,ROUNDUP((H43+N43)/115,0)*2.5)</f>
        <v/>
      </c>
    </row>
    <row r="44">
      <c r="A44" s="127" t="n"/>
      <c r="B44" s="128" t="n"/>
      <c r="C44" s="128" t="n"/>
      <c r="D44" s="116">
        <f>IF(A44="","",B44*1508)</f>
        <v/>
      </c>
      <c r="E44" s="128" t="n"/>
      <c r="F44" s="128" t="n"/>
      <c r="G44" s="128" t="n"/>
      <c r="H44" s="128" t="n"/>
      <c r="I44" s="116">
        <f>IF(A44="","",MAX((E44/2)-G44,0))</f>
        <v/>
      </c>
      <c r="J44" s="117">
        <f>IF(OR(A44="",E44=0),"",I44/(E44/2))</f>
        <v/>
      </c>
      <c r="K44" s="116">
        <f>IF(A44="","",MAX((F44/2)-H44,0))</f>
        <v/>
      </c>
      <c r="L44" s="117">
        <f>IF(OR(A44="",F44=0),"",K44/(F44/2))</f>
        <v/>
      </c>
      <c r="M44" s="128" t="n"/>
      <c r="N44" s="128" t="n"/>
      <c r="O44" s="116">
        <f>IF(A44="","",MAX((M44/3)-N44,0))</f>
        <v/>
      </c>
      <c r="P44" s="117">
        <f>IF(OR(A44="",M44=0),"",O44/(M44/3))</f>
        <v/>
      </c>
      <c r="Q44" s="116">
        <f>IF(A44="","",C44*1508)</f>
        <v/>
      </c>
      <c r="R44" s="128" t="n"/>
      <c r="S44" s="128" t="n"/>
      <c r="T44" s="117">
        <f>IF(OR(A44="",R44=0),"",MAX(R44-S44,0)/R44)</f>
        <v/>
      </c>
      <c r="U44" s="128" t="n"/>
      <c r="V44" s="128" t="n"/>
      <c r="W44" s="117">
        <f>IF(OR(A44="",U44=0),"",MAX(U44-V44,0)/U44)</f>
        <v/>
      </c>
      <c r="X44" s="128" t="n"/>
      <c r="Y44" s="128" t="n"/>
      <c r="Z44" s="117">
        <f>IF(OR(A44="",X44=0),"",MAX(X44-Y44,0)/X44)</f>
        <v/>
      </c>
      <c r="AA44" s="128" t="n"/>
      <c r="AB44" s="128" t="n"/>
      <c r="AC44" s="117">
        <f>IF(OR(A44="",AA44=0),"",MAX(AA44-AB44,0)/AA44)</f>
        <v/>
      </c>
      <c r="AD44" s="128" t="n"/>
      <c r="AE44" s="128" t="n"/>
      <c r="AF44" s="117">
        <f>IF(OR(A44="",AD44=0),"",MAX(AD44-AE44,0)/AD44)</f>
        <v/>
      </c>
      <c r="AG44" s="54">
        <f>IF(A44="",0,(B44*40)+(C44*40))</f>
        <v/>
      </c>
      <c r="AH44" s="54">
        <f>IF(A44="",0,(B44*100)+(C44*0))</f>
        <v/>
      </c>
      <c r="AI44" s="54">
        <f>IF(A44="",0,(B44*10)+(C44*0))</f>
        <v/>
      </c>
      <c r="AJ44" s="54">
        <f>IF(A44="",0,(B44*50)+(C44*0))</f>
        <v/>
      </c>
      <c r="AK44" s="54">
        <f>IF(A44="",0,(B44*20)+(C44*0))</f>
        <v/>
      </c>
      <c r="AL44" s="54">
        <f>IF(A44="",0,(B44*60)+(C44*0))</f>
        <v/>
      </c>
      <c r="AM44" s="54">
        <f>IF(A44="",0,(B44*4)+(C44*4))</f>
        <v/>
      </c>
      <c r="AN44" s="54">
        <f>IF(A44="",0,(B44*4)+(C44*4))</f>
        <v/>
      </c>
      <c r="AO44" s="54">
        <f>IF(A44="",0,(B44*6)+(C44*0))</f>
        <v/>
      </c>
      <c r="AP44" s="54">
        <f>IF(A44="",0,(B44*4)+(C44*10))</f>
        <v/>
      </c>
      <c r="AQ44" s="54">
        <f>IF(A44="",0,(B44*65)+(C44*80))</f>
        <v/>
      </c>
      <c r="AR44" s="54">
        <f>IF(A44="",0,(B44*0)+(C44*5))</f>
        <v/>
      </c>
      <c r="AS44" s="54">
        <f>IF(A44="",0,(B44*0)+(C44*50))</f>
        <v/>
      </c>
      <c r="AT44" s="54">
        <f>IF(A44="",0,(G44*25.51+N44*30+S44*7.5)/1000)</f>
        <v/>
      </c>
      <c r="AU44" s="54">
        <f>IF(A44="",0,(H44*21.74+V44*7.5)/1000)</f>
        <v/>
      </c>
      <c r="AV44" s="54">
        <f>IF(A44="",0,(G44*0.71)/1000)</f>
        <v/>
      </c>
      <c r="AW44" s="54">
        <f>IF(A44="",0,(AB44*5)/1000)</f>
        <v/>
      </c>
      <c r="AX44" s="54">
        <f>IF(A44="",0,(Y44*7)/1000)</f>
        <v/>
      </c>
      <c r="AY44" s="54">
        <f>IF(A44="",0,(AE44*7)/1000)</f>
        <v/>
      </c>
      <c r="AZ44" s="54">
        <f>IF(A44="",0,ROUNDUP((H44+N44)/115,0)*1.5)</f>
        <v/>
      </c>
      <c r="BA44" s="54">
        <f>IF(A44="",0,ROUNDUP((H44+N44)/115,0)*20)</f>
        <v/>
      </c>
      <c r="BB44" s="54">
        <f>IF(A44="",0,ROUNDUP((H44+N44)/115,0)*80)</f>
        <v/>
      </c>
      <c r="BC44" s="54">
        <f>IF(A44="",0,ROUNDUP((H44+N44)/115,0)*5)</f>
        <v/>
      </c>
      <c r="BD44" s="54">
        <f>IF(A44="",0,ROUNDUP((H44+N44)/115,0)*2.5)</f>
        <v/>
      </c>
    </row>
    <row r="45">
      <c r="A45" s="127" t="n"/>
      <c r="B45" s="128" t="n"/>
      <c r="C45" s="128" t="n"/>
      <c r="D45" s="116">
        <f>IF(A45="","",B45*1508)</f>
        <v/>
      </c>
      <c r="E45" s="128" t="n"/>
      <c r="F45" s="128" t="n"/>
      <c r="G45" s="128" t="n"/>
      <c r="H45" s="128" t="n"/>
      <c r="I45" s="116">
        <f>IF(A45="","",MAX((E45/2)-G45,0))</f>
        <v/>
      </c>
      <c r="J45" s="117">
        <f>IF(OR(A45="",E45=0),"",I45/(E45/2))</f>
        <v/>
      </c>
      <c r="K45" s="116">
        <f>IF(A45="","",MAX((F45/2)-H45,0))</f>
        <v/>
      </c>
      <c r="L45" s="117">
        <f>IF(OR(A45="",F45=0),"",K45/(F45/2))</f>
        <v/>
      </c>
      <c r="M45" s="128" t="n"/>
      <c r="N45" s="128" t="n"/>
      <c r="O45" s="116">
        <f>IF(A45="","",MAX((M45/3)-N45,0))</f>
        <v/>
      </c>
      <c r="P45" s="117">
        <f>IF(OR(A45="",M45=0),"",O45/(M45/3))</f>
        <v/>
      </c>
      <c r="Q45" s="116">
        <f>IF(A45="","",C45*1508)</f>
        <v/>
      </c>
      <c r="R45" s="128" t="n"/>
      <c r="S45" s="128" t="n"/>
      <c r="T45" s="117">
        <f>IF(OR(A45="",R45=0),"",MAX(R45-S45,0)/R45)</f>
        <v/>
      </c>
      <c r="U45" s="128" t="n"/>
      <c r="V45" s="128" t="n"/>
      <c r="W45" s="117">
        <f>IF(OR(A45="",U45=0),"",MAX(U45-V45,0)/U45)</f>
        <v/>
      </c>
      <c r="X45" s="128" t="n"/>
      <c r="Y45" s="128" t="n"/>
      <c r="Z45" s="117">
        <f>IF(OR(A45="",X45=0),"",MAX(X45-Y45,0)/X45)</f>
        <v/>
      </c>
      <c r="AA45" s="128" t="n"/>
      <c r="AB45" s="128" t="n"/>
      <c r="AC45" s="117">
        <f>IF(OR(A45="",AA45=0),"",MAX(AA45-AB45,0)/AA45)</f>
        <v/>
      </c>
      <c r="AD45" s="128" t="n"/>
      <c r="AE45" s="128" t="n"/>
      <c r="AF45" s="117">
        <f>IF(OR(A45="",AD45=0),"",MAX(AD45-AE45,0)/AD45)</f>
        <v/>
      </c>
      <c r="AG45" s="54">
        <f>IF(A45="",0,(B45*40)+(C45*40))</f>
        <v/>
      </c>
      <c r="AH45" s="54">
        <f>IF(A45="",0,(B45*100)+(C45*0))</f>
        <v/>
      </c>
      <c r="AI45" s="54">
        <f>IF(A45="",0,(B45*10)+(C45*0))</f>
        <v/>
      </c>
      <c r="AJ45" s="54">
        <f>IF(A45="",0,(B45*50)+(C45*0))</f>
        <v/>
      </c>
      <c r="AK45" s="54">
        <f>IF(A45="",0,(B45*20)+(C45*0))</f>
        <v/>
      </c>
      <c r="AL45" s="54">
        <f>IF(A45="",0,(B45*60)+(C45*0))</f>
        <v/>
      </c>
      <c r="AM45" s="54">
        <f>IF(A45="",0,(B45*4)+(C45*4))</f>
        <v/>
      </c>
      <c r="AN45" s="54">
        <f>IF(A45="",0,(B45*4)+(C45*4))</f>
        <v/>
      </c>
      <c r="AO45" s="54">
        <f>IF(A45="",0,(B45*6)+(C45*0))</f>
        <v/>
      </c>
      <c r="AP45" s="54">
        <f>IF(A45="",0,(B45*4)+(C45*10))</f>
        <v/>
      </c>
      <c r="AQ45" s="54">
        <f>IF(A45="",0,(B45*65)+(C45*80))</f>
        <v/>
      </c>
      <c r="AR45" s="54">
        <f>IF(A45="",0,(B45*0)+(C45*5))</f>
        <v/>
      </c>
      <c r="AS45" s="54">
        <f>IF(A45="",0,(B45*0)+(C45*50))</f>
        <v/>
      </c>
      <c r="AT45" s="54">
        <f>IF(A45="",0,(G45*25.51+N45*30+S45*7.5)/1000)</f>
        <v/>
      </c>
      <c r="AU45" s="54">
        <f>IF(A45="",0,(H45*21.74+V45*7.5)/1000)</f>
        <v/>
      </c>
      <c r="AV45" s="54">
        <f>IF(A45="",0,(G45*0.71)/1000)</f>
        <v/>
      </c>
      <c r="AW45" s="54">
        <f>IF(A45="",0,(AB45*5)/1000)</f>
        <v/>
      </c>
      <c r="AX45" s="54">
        <f>IF(A45="",0,(Y45*7)/1000)</f>
        <v/>
      </c>
      <c r="AY45" s="54">
        <f>IF(A45="",0,(AE45*7)/1000)</f>
        <v/>
      </c>
      <c r="AZ45" s="54">
        <f>IF(A45="",0,ROUNDUP((H45+N45)/115,0)*1.5)</f>
        <v/>
      </c>
      <c r="BA45" s="54">
        <f>IF(A45="",0,ROUNDUP((H45+N45)/115,0)*20)</f>
        <v/>
      </c>
      <c r="BB45" s="54">
        <f>IF(A45="",0,ROUNDUP((H45+N45)/115,0)*80)</f>
        <v/>
      </c>
      <c r="BC45" s="54">
        <f>IF(A45="",0,ROUNDUP((H45+N45)/115,0)*5)</f>
        <v/>
      </c>
      <c r="BD45" s="54">
        <f>IF(A45="",0,ROUNDUP((H45+N45)/115,0)*2.5)</f>
        <v/>
      </c>
    </row>
    <row r="46">
      <c r="A46" s="127" t="n"/>
      <c r="B46" s="128" t="n"/>
      <c r="C46" s="128" t="n"/>
      <c r="D46" s="116">
        <f>IF(A46="","",B46*1508)</f>
        <v/>
      </c>
      <c r="E46" s="128" t="n"/>
      <c r="F46" s="128" t="n"/>
      <c r="G46" s="128" t="n"/>
      <c r="H46" s="128" t="n"/>
      <c r="I46" s="116">
        <f>IF(A46="","",MAX((E46/2)-G46,0))</f>
        <v/>
      </c>
      <c r="J46" s="117">
        <f>IF(OR(A46="",E46=0),"",I46/(E46/2))</f>
        <v/>
      </c>
      <c r="K46" s="116">
        <f>IF(A46="","",MAX((F46/2)-H46,0))</f>
        <v/>
      </c>
      <c r="L46" s="117">
        <f>IF(OR(A46="",F46=0),"",K46/(F46/2))</f>
        <v/>
      </c>
      <c r="M46" s="128" t="n"/>
      <c r="N46" s="128" t="n"/>
      <c r="O46" s="116">
        <f>IF(A46="","",MAX((M46/3)-N46,0))</f>
        <v/>
      </c>
      <c r="P46" s="117">
        <f>IF(OR(A46="",M46=0),"",O46/(M46/3))</f>
        <v/>
      </c>
      <c r="Q46" s="116">
        <f>IF(A46="","",C46*1508)</f>
        <v/>
      </c>
      <c r="R46" s="128" t="n"/>
      <c r="S46" s="128" t="n"/>
      <c r="T46" s="117">
        <f>IF(OR(A46="",R46=0),"",MAX(R46-S46,0)/R46)</f>
        <v/>
      </c>
      <c r="U46" s="128" t="n"/>
      <c r="V46" s="128" t="n"/>
      <c r="W46" s="117">
        <f>IF(OR(A46="",U46=0),"",MAX(U46-V46,0)/U46)</f>
        <v/>
      </c>
      <c r="X46" s="128" t="n"/>
      <c r="Y46" s="128" t="n"/>
      <c r="Z46" s="117">
        <f>IF(OR(A46="",X46=0),"",MAX(X46-Y46,0)/X46)</f>
        <v/>
      </c>
      <c r="AA46" s="128" t="n"/>
      <c r="AB46" s="128" t="n"/>
      <c r="AC46" s="117">
        <f>IF(OR(A46="",AA46=0),"",MAX(AA46-AB46,0)/AA46)</f>
        <v/>
      </c>
      <c r="AD46" s="128" t="n"/>
      <c r="AE46" s="128" t="n"/>
      <c r="AF46" s="117">
        <f>IF(OR(A46="",AD46=0),"",MAX(AD46-AE46,0)/AD46)</f>
        <v/>
      </c>
      <c r="AG46" s="54">
        <f>IF(A46="",0,(B46*40)+(C46*40))</f>
        <v/>
      </c>
      <c r="AH46" s="54">
        <f>IF(A46="",0,(B46*100)+(C46*0))</f>
        <v/>
      </c>
      <c r="AI46" s="54">
        <f>IF(A46="",0,(B46*10)+(C46*0))</f>
        <v/>
      </c>
      <c r="AJ46" s="54">
        <f>IF(A46="",0,(B46*50)+(C46*0))</f>
        <v/>
      </c>
      <c r="AK46" s="54">
        <f>IF(A46="",0,(B46*20)+(C46*0))</f>
        <v/>
      </c>
      <c r="AL46" s="54">
        <f>IF(A46="",0,(B46*60)+(C46*0))</f>
        <v/>
      </c>
      <c r="AM46" s="54">
        <f>IF(A46="",0,(B46*4)+(C46*4))</f>
        <v/>
      </c>
      <c r="AN46" s="54">
        <f>IF(A46="",0,(B46*4)+(C46*4))</f>
        <v/>
      </c>
      <c r="AO46" s="54">
        <f>IF(A46="",0,(B46*6)+(C46*0))</f>
        <v/>
      </c>
      <c r="AP46" s="54">
        <f>IF(A46="",0,(B46*4)+(C46*10))</f>
        <v/>
      </c>
      <c r="AQ46" s="54">
        <f>IF(A46="",0,(B46*65)+(C46*80))</f>
        <v/>
      </c>
      <c r="AR46" s="54">
        <f>IF(A46="",0,(B46*0)+(C46*5))</f>
        <v/>
      </c>
      <c r="AS46" s="54">
        <f>IF(A46="",0,(B46*0)+(C46*50))</f>
        <v/>
      </c>
      <c r="AT46" s="54">
        <f>IF(A46="",0,(G46*25.51+N46*30+S46*7.5)/1000)</f>
        <v/>
      </c>
      <c r="AU46" s="54">
        <f>IF(A46="",0,(H46*21.74+V46*7.5)/1000)</f>
        <v/>
      </c>
      <c r="AV46" s="54">
        <f>IF(A46="",0,(G46*0.71)/1000)</f>
        <v/>
      </c>
      <c r="AW46" s="54">
        <f>IF(A46="",0,(AB46*5)/1000)</f>
        <v/>
      </c>
      <c r="AX46" s="54">
        <f>IF(A46="",0,(Y46*7)/1000)</f>
        <v/>
      </c>
      <c r="AY46" s="54">
        <f>IF(A46="",0,(AE46*7)/1000)</f>
        <v/>
      </c>
      <c r="AZ46" s="54">
        <f>IF(A46="",0,ROUNDUP((H46+N46)/115,0)*1.5)</f>
        <v/>
      </c>
      <c r="BA46" s="54">
        <f>IF(A46="",0,ROUNDUP((H46+N46)/115,0)*20)</f>
        <v/>
      </c>
      <c r="BB46" s="54">
        <f>IF(A46="",0,ROUNDUP((H46+N46)/115,0)*80)</f>
        <v/>
      </c>
      <c r="BC46" s="54">
        <f>IF(A46="",0,ROUNDUP((H46+N46)/115,0)*5)</f>
        <v/>
      </c>
      <c r="BD46" s="54">
        <f>IF(A46="",0,ROUNDUP((H46+N46)/115,0)*2.5)</f>
        <v/>
      </c>
    </row>
    <row r="47">
      <c r="A47" s="127" t="n"/>
      <c r="B47" s="128" t="n"/>
      <c r="C47" s="128" t="n"/>
      <c r="D47" s="116">
        <f>IF(A47="","",B47*1508)</f>
        <v/>
      </c>
      <c r="E47" s="128" t="n"/>
      <c r="F47" s="128" t="n"/>
      <c r="G47" s="128" t="n"/>
      <c r="H47" s="128" t="n"/>
      <c r="I47" s="116">
        <f>IF(A47="","",MAX((E47/2)-G47,0))</f>
        <v/>
      </c>
      <c r="J47" s="117">
        <f>IF(OR(A47="",E47=0),"",I47/(E47/2))</f>
        <v/>
      </c>
      <c r="K47" s="116">
        <f>IF(A47="","",MAX((F47/2)-H47,0))</f>
        <v/>
      </c>
      <c r="L47" s="117">
        <f>IF(OR(A47="",F47=0),"",K47/(F47/2))</f>
        <v/>
      </c>
      <c r="M47" s="128" t="n"/>
      <c r="N47" s="128" t="n"/>
      <c r="O47" s="116">
        <f>IF(A47="","",MAX((M47/3)-N47,0))</f>
        <v/>
      </c>
      <c r="P47" s="117">
        <f>IF(OR(A47="",M47=0),"",O47/(M47/3))</f>
        <v/>
      </c>
      <c r="Q47" s="116">
        <f>IF(A47="","",C47*1508)</f>
        <v/>
      </c>
      <c r="R47" s="128" t="n"/>
      <c r="S47" s="128" t="n"/>
      <c r="T47" s="117">
        <f>IF(OR(A47="",R47=0),"",MAX(R47-S47,0)/R47)</f>
        <v/>
      </c>
      <c r="U47" s="128" t="n"/>
      <c r="V47" s="128" t="n"/>
      <c r="W47" s="117">
        <f>IF(OR(A47="",U47=0),"",MAX(U47-V47,0)/U47)</f>
        <v/>
      </c>
      <c r="X47" s="128" t="n"/>
      <c r="Y47" s="128" t="n"/>
      <c r="Z47" s="117">
        <f>IF(OR(A47="",X47=0),"",MAX(X47-Y47,0)/X47)</f>
        <v/>
      </c>
      <c r="AA47" s="128" t="n"/>
      <c r="AB47" s="128" t="n"/>
      <c r="AC47" s="117">
        <f>IF(OR(A47="",AA47=0),"",MAX(AA47-AB47,0)/AA47)</f>
        <v/>
      </c>
      <c r="AD47" s="128" t="n"/>
      <c r="AE47" s="128" t="n"/>
      <c r="AF47" s="117">
        <f>IF(OR(A47="",AD47=0),"",MAX(AD47-AE47,0)/AD47)</f>
        <v/>
      </c>
      <c r="AG47" s="54">
        <f>IF(A47="",0,(B47*40)+(C47*40))</f>
        <v/>
      </c>
      <c r="AH47" s="54">
        <f>IF(A47="",0,(B47*100)+(C47*0))</f>
        <v/>
      </c>
      <c r="AI47" s="54">
        <f>IF(A47="",0,(B47*10)+(C47*0))</f>
        <v/>
      </c>
      <c r="AJ47" s="54">
        <f>IF(A47="",0,(B47*50)+(C47*0))</f>
        <v/>
      </c>
      <c r="AK47" s="54">
        <f>IF(A47="",0,(B47*20)+(C47*0))</f>
        <v/>
      </c>
      <c r="AL47" s="54">
        <f>IF(A47="",0,(B47*60)+(C47*0))</f>
        <v/>
      </c>
      <c r="AM47" s="54">
        <f>IF(A47="",0,(B47*4)+(C47*4))</f>
        <v/>
      </c>
      <c r="AN47" s="54">
        <f>IF(A47="",0,(B47*4)+(C47*4))</f>
        <v/>
      </c>
      <c r="AO47" s="54">
        <f>IF(A47="",0,(B47*6)+(C47*0))</f>
        <v/>
      </c>
      <c r="AP47" s="54">
        <f>IF(A47="",0,(B47*4)+(C47*10))</f>
        <v/>
      </c>
      <c r="AQ47" s="54">
        <f>IF(A47="",0,(B47*65)+(C47*80))</f>
        <v/>
      </c>
      <c r="AR47" s="54">
        <f>IF(A47="",0,(B47*0)+(C47*5))</f>
        <v/>
      </c>
      <c r="AS47" s="54">
        <f>IF(A47="",0,(B47*0)+(C47*50))</f>
        <v/>
      </c>
      <c r="AT47" s="54">
        <f>IF(A47="",0,(G47*25.51+N47*30+S47*7.5)/1000)</f>
        <v/>
      </c>
      <c r="AU47" s="54">
        <f>IF(A47="",0,(H47*21.74+V47*7.5)/1000)</f>
        <v/>
      </c>
      <c r="AV47" s="54">
        <f>IF(A47="",0,(G47*0.71)/1000)</f>
        <v/>
      </c>
      <c r="AW47" s="54">
        <f>IF(A47="",0,(AB47*5)/1000)</f>
        <v/>
      </c>
      <c r="AX47" s="54">
        <f>IF(A47="",0,(Y47*7)/1000)</f>
        <v/>
      </c>
      <c r="AY47" s="54">
        <f>IF(A47="",0,(AE47*7)/1000)</f>
        <v/>
      </c>
      <c r="AZ47" s="54">
        <f>IF(A47="",0,ROUNDUP((H47+N47)/115,0)*1.5)</f>
        <v/>
      </c>
      <c r="BA47" s="54">
        <f>IF(A47="",0,ROUNDUP((H47+N47)/115,0)*20)</f>
        <v/>
      </c>
      <c r="BB47" s="54">
        <f>IF(A47="",0,ROUNDUP((H47+N47)/115,0)*80)</f>
        <v/>
      </c>
      <c r="BC47" s="54">
        <f>IF(A47="",0,ROUNDUP((H47+N47)/115,0)*5)</f>
        <v/>
      </c>
      <c r="BD47" s="54">
        <f>IF(A47="",0,ROUNDUP((H47+N47)/115,0)*2.5)</f>
        <v/>
      </c>
    </row>
    <row r="48">
      <c r="A48" s="127" t="n"/>
      <c r="B48" s="128" t="n"/>
      <c r="C48" s="128" t="n"/>
      <c r="D48" s="116">
        <f>IF(A48="","",B48*1508)</f>
        <v/>
      </c>
      <c r="E48" s="128" t="n"/>
      <c r="F48" s="128" t="n"/>
      <c r="G48" s="128" t="n"/>
      <c r="H48" s="128" t="n"/>
      <c r="I48" s="116">
        <f>IF(A48="","",MAX((E48/2)-G48,0))</f>
        <v/>
      </c>
      <c r="J48" s="117">
        <f>IF(OR(A48="",E48=0),"",I48/(E48/2))</f>
        <v/>
      </c>
      <c r="K48" s="116">
        <f>IF(A48="","",MAX((F48/2)-H48,0))</f>
        <v/>
      </c>
      <c r="L48" s="117">
        <f>IF(OR(A48="",F48=0),"",K48/(F48/2))</f>
        <v/>
      </c>
      <c r="M48" s="128" t="n"/>
      <c r="N48" s="128" t="n"/>
      <c r="O48" s="116">
        <f>IF(A48="","",MAX((M48/3)-N48,0))</f>
        <v/>
      </c>
      <c r="P48" s="117">
        <f>IF(OR(A48="",M48=0),"",O48/(M48/3))</f>
        <v/>
      </c>
      <c r="Q48" s="116">
        <f>IF(A48="","",C48*1508)</f>
        <v/>
      </c>
      <c r="R48" s="128" t="n"/>
      <c r="S48" s="128" t="n"/>
      <c r="T48" s="117">
        <f>IF(OR(A48="",R48=0),"",MAX(R48-S48,0)/R48)</f>
        <v/>
      </c>
      <c r="U48" s="128" t="n"/>
      <c r="V48" s="128" t="n"/>
      <c r="W48" s="117">
        <f>IF(OR(A48="",U48=0),"",MAX(U48-V48,0)/U48)</f>
        <v/>
      </c>
      <c r="X48" s="128" t="n"/>
      <c r="Y48" s="128" t="n"/>
      <c r="Z48" s="117">
        <f>IF(OR(A48="",X48=0),"",MAX(X48-Y48,0)/X48)</f>
        <v/>
      </c>
      <c r="AA48" s="128" t="n"/>
      <c r="AB48" s="128" t="n"/>
      <c r="AC48" s="117">
        <f>IF(OR(A48="",AA48=0),"",MAX(AA48-AB48,0)/AA48)</f>
        <v/>
      </c>
      <c r="AD48" s="128" t="n"/>
      <c r="AE48" s="128" t="n"/>
      <c r="AF48" s="117">
        <f>IF(OR(A48="",AD48=0),"",MAX(AD48-AE48,0)/AD48)</f>
        <v/>
      </c>
      <c r="AG48" s="54">
        <f>IF(A48="",0,(B48*40)+(C48*40))</f>
        <v/>
      </c>
      <c r="AH48" s="54">
        <f>IF(A48="",0,(B48*100)+(C48*0))</f>
        <v/>
      </c>
      <c r="AI48" s="54">
        <f>IF(A48="",0,(B48*10)+(C48*0))</f>
        <v/>
      </c>
      <c r="AJ48" s="54">
        <f>IF(A48="",0,(B48*50)+(C48*0))</f>
        <v/>
      </c>
      <c r="AK48" s="54">
        <f>IF(A48="",0,(B48*20)+(C48*0))</f>
        <v/>
      </c>
      <c r="AL48" s="54">
        <f>IF(A48="",0,(B48*60)+(C48*0))</f>
        <v/>
      </c>
      <c r="AM48" s="54">
        <f>IF(A48="",0,(B48*4)+(C48*4))</f>
        <v/>
      </c>
      <c r="AN48" s="54">
        <f>IF(A48="",0,(B48*4)+(C48*4))</f>
        <v/>
      </c>
      <c r="AO48" s="54">
        <f>IF(A48="",0,(B48*6)+(C48*0))</f>
        <v/>
      </c>
      <c r="AP48" s="54">
        <f>IF(A48="",0,(B48*4)+(C48*10))</f>
        <v/>
      </c>
      <c r="AQ48" s="54">
        <f>IF(A48="",0,(B48*65)+(C48*80))</f>
        <v/>
      </c>
      <c r="AR48" s="54">
        <f>IF(A48="",0,(B48*0)+(C48*5))</f>
        <v/>
      </c>
      <c r="AS48" s="54">
        <f>IF(A48="",0,(B48*0)+(C48*50))</f>
        <v/>
      </c>
      <c r="AT48" s="54">
        <f>IF(A48="",0,(G48*25.51+N48*30+S48*7.5)/1000)</f>
        <v/>
      </c>
      <c r="AU48" s="54">
        <f>IF(A48="",0,(H48*21.74+V48*7.5)/1000)</f>
        <v/>
      </c>
      <c r="AV48" s="54">
        <f>IF(A48="",0,(G48*0.71)/1000)</f>
        <v/>
      </c>
      <c r="AW48" s="54">
        <f>IF(A48="",0,(AB48*5)/1000)</f>
        <v/>
      </c>
      <c r="AX48" s="54">
        <f>IF(A48="",0,(Y48*7)/1000)</f>
        <v/>
      </c>
      <c r="AY48" s="54">
        <f>IF(A48="",0,(AE48*7)/1000)</f>
        <v/>
      </c>
      <c r="AZ48" s="54">
        <f>IF(A48="",0,ROUNDUP((H48+N48)/115,0)*1.5)</f>
        <v/>
      </c>
      <c r="BA48" s="54">
        <f>IF(A48="",0,ROUNDUP((H48+N48)/115,0)*20)</f>
        <v/>
      </c>
      <c r="BB48" s="54">
        <f>IF(A48="",0,ROUNDUP((H48+N48)/115,0)*80)</f>
        <v/>
      </c>
      <c r="BC48" s="54">
        <f>IF(A48="",0,ROUNDUP((H48+N48)/115,0)*5)</f>
        <v/>
      </c>
      <c r="BD48" s="54">
        <f>IF(A48="",0,ROUNDUP((H48+N48)/115,0)*2.5)</f>
        <v/>
      </c>
    </row>
    <row r="49">
      <c r="A49" s="127" t="n"/>
      <c r="B49" s="128" t="n"/>
      <c r="C49" s="128" t="n"/>
      <c r="D49" s="116">
        <f>IF(A49="","",B49*1508)</f>
        <v/>
      </c>
      <c r="E49" s="128" t="n"/>
      <c r="F49" s="128" t="n"/>
      <c r="G49" s="128" t="n"/>
      <c r="H49" s="128" t="n"/>
      <c r="I49" s="116">
        <f>IF(A49="","",MAX((E49/2)-G49,0))</f>
        <v/>
      </c>
      <c r="J49" s="117">
        <f>IF(OR(A49="",E49=0),"",I49/(E49/2))</f>
        <v/>
      </c>
      <c r="K49" s="116">
        <f>IF(A49="","",MAX((F49/2)-H49,0))</f>
        <v/>
      </c>
      <c r="L49" s="117">
        <f>IF(OR(A49="",F49=0),"",K49/(F49/2))</f>
        <v/>
      </c>
      <c r="M49" s="128" t="n"/>
      <c r="N49" s="128" t="n"/>
      <c r="O49" s="116">
        <f>IF(A49="","",MAX((M49/3)-N49,0))</f>
        <v/>
      </c>
      <c r="P49" s="117">
        <f>IF(OR(A49="",M49=0),"",O49/(M49/3))</f>
        <v/>
      </c>
      <c r="Q49" s="116">
        <f>IF(A49="","",C49*1508)</f>
        <v/>
      </c>
      <c r="R49" s="128" t="n"/>
      <c r="S49" s="128" t="n"/>
      <c r="T49" s="117">
        <f>IF(OR(A49="",R49=0),"",MAX(R49-S49,0)/R49)</f>
        <v/>
      </c>
      <c r="U49" s="128" t="n"/>
      <c r="V49" s="128" t="n"/>
      <c r="W49" s="117">
        <f>IF(OR(A49="",U49=0),"",MAX(U49-V49,0)/U49)</f>
        <v/>
      </c>
      <c r="X49" s="128" t="n"/>
      <c r="Y49" s="128" t="n"/>
      <c r="Z49" s="117">
        <f>IF(OR(A49="",X49=0),"",MAX(X49-Y49,0)/X49)</f>
        <v/>
      </c>
      <c r="AA49" s="128" t="n"/>
      <c r="AB49" s="128" t="n"/>
      <c r="AC49" s="117">
        <f>IF(OR(A49="",AA49=0),"",MAX(AA49-AB49,0)/AA49)</f>
        <v/>
      </c>
      <c r="AD49" s="128" t="n"/>
      <c r="AE49" s="128" t="n"/>
      <c r="AF49" s="117">
        <f>IF(OR(A49="",AD49=0),"",MAX(AD49-AE49,0)/AD49)</f>
        <v/>
      </c>
      <c r="AG49" s="54">
        <f>IF(A49="",0,(B49*40)+(C49*40))</f>
        <v/>
      </c>
      <c r="AH49" s="54">
        <f>IF(A49="",0,(B49*100)+(C49*0))</f>
        <v/>
      </c>
      <c r="AI49" s="54">
        <f>IF(A49="",0,(B49*10)+(C49*0))</f>
        <v/>
      </c>
      <c r="AJ49" s="54">
        <f>IF(A49="",0,(B49*50)+(C49*0))</f>
        <v/>
      </c>
      <c r="AK49" s="54">
        <f>IF(A49="",0,(B49*20)+(C49*0))</f>
        <v/>
      </c>
      <c r="AL49" s="54">
        <f>IF(A49="",0,(B49*60)+(C49*0))</f>
        <v/>
      </c>
      <c r="AM49" s="54">
        <f>IF(A49="",0,(B49*4)+(C49*4))</f>
        <v/>
      </c>
      <c r="AN49" s="54">
        <f>IF(A49="",0,(B49*4)+(C49*4))</f>
        <v/>
      </c>
      <c r="AO49" s="54">
        <f>IF(A49="",0,(B49*6)+(C49*0))</f>
        <v/>
      </c>
      <c r="AP49" s="54">
        <f>IF(A49="",0,(B49*4)+(C49*10))</f>
        <v/>
      </c>
      <c r="AQ49" s="54">
        <f>IF(A49="",0,(B49*65)+(C49*80))</f>
        <v/>
      </c>
      <c r="AR49" s="54">
        <f>IF(A49="",0,(B49*0)+(C49*5))</f>
        <v/>
      </c>
      <c r="AS49" s="54">
        <f>IF(A49="",0,(B49*0)+(C49*50))</f>
        <v/>
      </c>
      <c r="AT49" s="54">
        <f>IF(A49="",0,(G49*25.51+N49*30+S49*7.5)/1000)</f>
        <v/>
      </c>
      <c r="AU49" s="54">
        <f>IF(A49="",0,(H49*21.74+V49*7.5)/1000)</f>
        <v/>
      </c>
      <c r="AV49" s="54">
        <f>IF(A49="",0,(G49*0.71)/1000)</f>
        <v/>
      </c>
      <c r="AW49" s="54">
        <f>IF(A49="",0,(AB49*5)/1000)</f>
        <v/>
      </c>
      <c r="AX49" s="54">
        <f>IF(A49="",0,(Y49*7)/1000)</f>
        <v/>
      </c>
      <c r="AY49" s="54">
        <f>IF(A49="",0,(AE49*7)/1000)</f>
        <v/>
      </c>
      <c r="AZ49" s="54">
        <f>IF(A49="",0,ROUNDUP((H49+N49)/115,0)*1.5)</f>
        <v/>
      </c>
      <c r="BA49" s="54">
        <f>IF(A49="",0,ROUNDUP((H49+N49)/115,0)*20)</f>
        <v/>
      </c>
      <c r="BB49" s="54">
        <f>IF(A49="",0,ROUNDUP((H49+N49)/115,0)*80)</f>
        <v/>
      </c>
      <c r="BC49" s="54">
        <f>IF(A49="",0,ROUNDUP((H49+N49)/115,0)*5)</f>
        <v/>
      </c>
      <c r="BD49" s="54">
        <f>IF(A49="",0,ROUNDUP((H49+N49)/115,0)*2.5)</f>
        <v/>
      </c>
    </row>
    <row r="50">
      <c r="A50" s="127" t="n"/>
      <c r="B50" s="128" t="n"/>
      <c r="C50" s="128" t="n"/>
      <c r="D50" s="116">
        <f>IF(A50="","",B50*1508)</f>
        <v/>
      </c>
      <c r="E50" s="128" t="n"/>
      <c r="F50" s="128" t="n"/>
      <c r="G50" s="128" t="n"/>
      <c r="H50" s="128" t="n"/>
      <c r="I50" s="116">
        <f>IF(A50="","",MAX((E50/2)-G50,0))</f>
        <v/>
      </c>
      <c r="J50" s="117">
        <f>IF(OR(A50="",E50=0),"",I50/(E50/2))</f>
        <v/>
      </c>
      <c r="K50" s="116">
        <f>IF(A50="","",MAX((F50/2)-H50,0))</f>
        <v/>
      </c>
      <c r="L50" s="117">
        <f>IF(OR(A50="",F50=0),"",K50/(F50/2))</f>
        <v/>
      </c>
      <c r="M50" s="128" t="n"/>
      <c r="N50" s="128" t="n"/>
      <c r="O50" s="116">
        <f>IF(A50="","",MAX((M50/3)-N50,0))</f>
        <v/>
      </c>
      <c r="P50" s="117">
        <f>IF(OR(A50="",M50=0),"",O50/(M50/3))</f>
        <v/>
      </c>
      <c r="Q50" s="116">
        <f>IF(A50="","",C50*1508)</f>
        <v/>
      </c>
      <c r="R50" s="128" t="n"/>
      <c r="S50" s="128" t="n"/>
      <c r="T50" s="117">
        <f>IF(OR(A50="",R50=0),"",MAX(R50-S50,0)/R50)</f>
        <v/>
      </c>
      <c r="U50" s="128" t="n"/>
      <c r="V50" s="128" t="n"/>
      <c r="W50" s="117">
        <f>IF(OR(A50="",U50=0),"",MAX(U50-V50,0)/U50)</f>
        <v/>
      </c>
      <c r="X50" s="128" t="n"/>
      <c r="Y50" s="128" t="n"/>
      <c r="Z50" s="117">
        <f>IF(OR(A50="",X50=0),"",MAX(X50-Y50,0)/X50)</f>
        <v/>
      </c>
      <c r="AA50" s="128" t="n"/>
      <c r="AB50" s="128" t="n"/>
      <c r="AC50" s="117">
        <f>IF(OR(A50="",AA50=0),"",MAX(AA50-AB50,0)/AA50)</f>
        <v/>
      </c>
      <c r="AD50" s="128" t="n"/>
      <c r="AE50" s="128" t="n"/>
      <c r="AF50" s="117">
        <f>IF(OR(A50="",AD50=0),"",MAX(AD50-AE50,0)/AD50)</f>
        <v/>
      </c>
      <c r="AG50" s="54">
        <f>IF(A50="",0,(B50*40)+(C50*40))</f>
        <v/>
      </c>
      <c r="AH50" s="54">
        <f>IF(A50="",0,(B50*100)+(C50*0))</f>
        <v/>
      </c>
      <c r="AI50" s="54">
        <f>IF(A50="",0,(B50*10)+(C50*0))</f>
        <v/>
      </c>
      <c r="AJ50" s="54">
        <f>IF(A50="",0,(B50*50)+(C50*0))</f>
        <v/>
      </c>
      <c r="AK50" s="54">
        <f>IF(A50="",0,(B50*20)+(C50*0))</f>
        <v/>
      </c>
      <c r="AL50" s="54">
        <f>IF(A50="",0,(B50*60)+(C50*0))</f>
        <v/>
      </c>
      <c r="AM50" s="54">
        <f>IF(A50="",0,(B50*4)+(C50*4))</f>
        <v/>
      </c>
      <c r="AN50" s="54">
        <f>IF(A50="",0,(B50*4)+(C50*4))</f>
        <v/>
      </c>
      <c r="AO50" s="54">
        <f>IF(A50="",0,(B50*6)+(C50*0))</f>
        <v/>
      </c>
      <c r="AP50" s="54">
        <f>IF(A50="",0,(B50*4)+(C50*10))</f>
        <v/>
      </c>
      <c r="AQ50" s="54">
        <f>IF(A50="",0,(B50*65)+(C50*80))</f>
        <v/>
      </c>
      <c r="AR50" s="54">
        <f>IF(A50="",0,(B50*0)+(C50*5))</f>
        <v/>
      </c>
      <c r="AS50" s="54">
        <f>IF(A50="",0,(B50*0)+(C50*50))</f>
        <v/>
      </c>
      <c r="AT50" s="54">
        <f>IF(A50="",0,(G50*25.51+N50*30+S50*7.5)/1000)</f>
        <v/>
      </c>
      <c r="AU50" s="54">
        <f>IF(A50="",0,(H50*21.74+V50*7.5)/1000)</f>
        <v/>
      </c>
      <c r="AV50" s="54">
        <f>IF(A50="",0,(G50*0.71)/1000)</f>
        <v/>
      </c>
      <c r="AW50" s="54">
        <f>IF(A50="",0,(AB50*5)/1000)</f>
        <v/>
      </c>
      <c r="AX50" s="54">
        <f>IF(A50="",0,(Y50*7)/1000)</f>
        <v/>
      </c>
      <c r="AY50" s="54">
        <f>IF(A50="",0,(AE50*7)/1000)</f>
        <v/>
      </c>
      <c r="AZ50" s="54">
        <f>IF(A50="",0,ROUNDUP((H50+N50)/115,0)*1.5)</f>
        <v/>
      </c>
      <c r="BA50" s="54">
        <f>IF(A50="",0,ROUNDUP((H50+N50)/115,0)*20)</f>
        <v/>
      </c>
      <c r="BB50" s="54">
        <f>IF(A50="",0,ROUNDUP((H50+N50)/115,0)*80)</f>
        <v/>
      </c>
      <c r="BC50" s="54">
        <f>IF(A50="",0,ROUNDUP((H50+N50)/115,0)*5)</f>
        <v/>
      </c>
      <c r="BD50" s="54">
        <f>IF(A50="",0,ROUNDUP((H50+N50)/115,0)*2.5)</f>
        <v/>
      </c>
    </row>
    <row r="51">
      <c r="A51" s="127" t="n"/>
      <c r="B51" s="128" t="n"/>
      <c r="C51" s="128" t="n"/>
      <c r="D51" s="116">
        <f>IF(A51="","",B51*1508)</f>
        <v/>
      </c>
      <c r="E51" s="128" t="n"/>
      <c r="F51" s="128" t="n"/>
      <c r="G51" s="128" t="n"/>
      <c r="H51" s="128" t="n"/>
      <c r="I51" s="116">
        <f>IF(A51="","",MAX((E51/2)-G51,0))</f>
        <v/>
      </c>
      <c r="J51" s="117">
        <f>IF(OR(A51="",E51=0),"",I51/(E51/2))</f>
        <v/>
      </c>
      <c r="K51" s="116">
        <f>IF(A51="","",MAX((F51/2)-H51,0))</f>
        <v/>
      </c>
      <c r="L51" s="117">
        <f>IF(OR(A51="",F51=0),"",K51/(F51/2))</f>
        <v/>
      </c>
      <c r="M51" s="128" t="n"/>
      <c r="N51" s="128" t="n"/>
      <c r="O51" s="116">
        <f>IF(A51="","",MAX((M51/3)-N51,0))</f>
        <v/>
      </c>
      <c r="P51" s="117">
        <f>IF(OR(A51="",M51=0),"",O51/(M51/3))</f>
        <v/>
      </c>
      <c r="Q51" s="116">
        <f>IF(A51="","",C51*1508)</f>
        <v/>
      </c>
      <c r="R51" s="128" t="n"/>
      <c r="S51" s="128" t="n"/>
      <c r="T51" s="117">
        <f>IF(OR(A51="",R51=0),"",MAX(R51-S51,0)/R51)</f>
        <v/>
      </c>
      <c r="U51" s="128" t="n"/>
      <c r="V51" s="128" t="n"/>
      <c r="W51" s="117">
        <f>IF(OR(A51="",U51=0),"",MAX(U51-V51,0)/U51)</f>
        <v/>
      </c>
      <c r="X51" s="128" t="n"/>
      <c r="Y51" s="128" t="n"/>
      <c r="Z51" s="117">
        <f>IF(OR(A51="",X51=0),"",MAX(X51-Y51,0)/X51)</f>
        <v/>
      </c>
      <c r="AA51" s="128" t="n"/>
      <c r="AB51" s="128" t="n"/>
      <c r="AC51" s="117">
        <f>IF(OR(A51="",AA51=0),"",MAX(AA51-AB51,0)/AA51)</f>
        <v/>
      </c>
      <c r="AD51" s="128" t="n"/>
      <c r="AE51" s="128" t="n"/>
      <c r="AF51" s="117">
        <f>IF(OR(A51="",AD51=0),"",MAX(AD51-AE51,0)/AD51)</f>
        <v/>
      </c>
      <c r="AG51" s="54">
        <f>IF(A51="",0,(B51*40)+(C51*40))</f>
        <v/>
      </c>
      <c r="AH51" s="54">
        <f>IF(A51="",0,(B51*100)+(C51*0))</f>
        <v/>
      </c>
      <c r="AI51" s="54">
        <f>IF(A51="",0,(B51*10)+(C51*0))</f>
        <v/>
      </c>
      <c r="AJ51" s="54">
        <f>IF(A51="",0,(B51*50)+(C51*0))</f>
        <v/>
      </c>
      <c r="AK51" s="54">
        <f>IF(A51="",0,(B51*20)+(C51*0))</f>
        <v/>
      </c>
      <c r="AL51" s="54">
        <f>IF(A51="",0,(B51*60)+(C51*0))</f>
        <v/>
      </c>
      <c r="AM51" s="54">
        <f>IF(A51="",0,(B51*4)+(C51*4))</f>
        <v/>
      </c>
      <c r="AN51" s="54">
        <f>IF(A51="",0,(B51*4)+(C51*4))</f>
        <v/>
      </c>
      <c r="AO51" s="54">
        <f>IF(A51="",0,(B51*6)+(C51*0))</f>
        <v/>
      </c>
      <c r="AP51" s="54">
        <f>IF(A51="",0,(B51*4)+(C51*10))</f>
        <v/>
      </c>
      <c r="AQ51" s="54">
        <f>IF(A51="",0,(B51*65)+(C51*80))</f>
        <v/>
      </c>
      <c r="AR51" s="54">
        <f>IF(A51="",0,(B51*0)+(C51*5))</f>
        <v/>
      </c>
      <c r="AS51" s="54">
        <f>IF(A51="",0,(B51*0)+(C51*50))</f>
        <v/>
      </c>
      <c r="AT51" s="54">
        <f>IF(A51="",0,(G51*25.51+N51*30+S51*7.5)/1000)</f>
        <v/>
      </c>
      <c r="AU51" s="54">
        <f>IF(A51="",0,(H51*21.74+V51*7.5)/1000)</f>
        <v/>
      </c>
      <c r="AV51" s="54">
        <f>IF(A51="",0,(G51*0.71)/1000)</f>
        <v/>
      </c>
      <c r="AW51" s="54">
        <f>IF(A51="",0,(AB51*5)/1000)</f>
        <v/>
      </c>
      <c r="AX51" s="54">
        <f>IF(A51="",0,(Y51*7)/1000)</f>
        <v/>
      </c>
      <c r="AY51" s="54">
        <f>IF(A51="",0,(AE51*7)/1000)</f>
        <v/>
      </c>
      <c r="AZ51" s="54">
        <f>IF(A51="",0,ROUNDUP((H51+N51)/115,0)*1.5)</f>
        <v/>
      </c>
      <c r="BA51" s="54">
        <f>IF(A51="",0,ROUNDUP((H51+N51)/115,0)*20)</f>
        <v/>
      </c>
      <c r="BB51" s="54">
        <f>IF(A51="",0,ROUNDUP((H51+N51)/115,0)*80)</f>
        <v/>
      </c>
      <c r="BC51" s="54">
        <f>IF(A51="",0,ROUNDUP((H51+N51)/115,0)*5)</f>
        <v/>
      </c>
      <c r="BD51" s="54">
        <f>IF(A51="",0,ROUNDUP((H51+N51)/115,0)*2.5)</f>
        <v/>
      </c>
    </row>
    <row r="52">
      <c r="A52" s="127" t="n"/>
      <c r="B52" s="128" t="n"/>
      <c r="C52" s="128" t="n"/>
      <c r="D52" s="116">
        <f>IF(A52="","",B52*1508)</f>
        <v/>
      </c>
      <c r="E52" s="128" t="n"/>
      <c r="F52" s="128" t="n"/>
      <c r="G52" s="128" t="n"/>
      <c r="H52" s="128" t="n"/>
      <c r="I52" s="116">
        <f>IF(A52="","",MAX((E52/2)-G52,0))</f>
        <v/>
      </c>
      <c r="J52" s="117">
        <f>IF(OR(A52="",E52=0),"",I52/(E52/2))</f>
        <v/>
      </c>
      <c r="K52" s="116">
        <f>IF(A52="","",MAX((F52/2)-H52,0))</f>
        <v/>
      </c>
      <c r="L52" s="117">
        <f>IF(OR(A52="",F52=0),"",K52/(F52/2))</f>
        <v/>
      </c>
      <c r="M52" s="128" t="n"/>
      <c r="N52" s="128" t="n"/>
      <c r="O52" s="116">
        <f>IF(A52="","",MAX((M52/3)-N52,0))</f>
        <v/>
      </c>
      <c r="P52" s="117">
        <f>IF(OR(A52="",M52=0),"",O52/(M52/3))</f>
        <v/>
      </c>
      <c r="Q52" s="116">
        <f>IF(A52="","",C52*1508)</f>
        <v/>
      </c>
      <c r="R52" s="128" t="n"/>
      <c r="S52" s="128" t="n"/>
      <c r="T52" s="117">
        <f>IF(OR(A52="",R52=0),"",MAX(R52-S52,0)/R52)</f>
        <v/>
      </c>
      <c r="U52" s="128" t="n"/>
      <c r="V52" s="128" t="n"/>
      <c r="W52" s="117">
        <f>IF(OR(A52="",U52=0),"",MAX(U52-V52,0)/U52)</f>
        <v/>
      </c>
      <c r="X52" s="128" t="n"/>
      <c r="Y52" s="128" t="n"/>
      <c r="Z52" s="117">
        <f>IF(OR(A52="",X52=0),"",MAX(X52-Y52,0)/X52)</f>
        <v/>
      </c>
      <c r="AA52" s="128" t="n"/>
      <c r="AB52" s="128" t="n"/>
      <c r="AC52" s="117">
        <f>IF(OR(A52="",AA52=0),"",MAX(AA52-AB52,0)/AA52)</f>
        <v/>
      </c>
      <c r="AD52" s="128" t="n"/>
      <c r="AE52" s="128" t="n"/>
      <c r="AF52" s="117">
        <f>IF(OR(A52="",AD52=0),"",MAX(AD52-AE52,0)/AD52)</f>
        <v/>
      </c>
      <c r="AG52" s="54">
        <f>IF(A52="",0,(B52*40)+(C52*40))</f>
        <v/>
      </c>
      <c r="AH52" s="54">
        <f>IF(A52="",0,(B52*100)+(C52*0))</f>
        <v/>
      </c>
      <c r="AI52" s="54">
        <f>IF(A52="",0,(B52*10)+(C52*0))</f>
        <v/>
      </c>
      <c r="AJ52" s="54">
        <f>IF(A52="",0,(B52*50)+(C52*0))</f>
        <v/>
      </c>
      <c r="AK52" s="54">
        <f>IF(A52="",0,(B52*20)+(C52*0))</f>
        <v/>
      </c>
      <c r="AL52" s="54">
        <f>IF(A52="",0,(B52*60)+(C52*0))</f>
        <v/>
      </c>
      <c r="AM52" s="54">
        <f>IF(A52="",0,(B52*4)+(C52*4))</f>
        <v/>
      </c>
      <c r="AN52" s="54">
        <f>IF(A52="",0,(B52*4)+(C52*4))</f>
        <v/>
      </c>
      <c r="AO52" s="54">
        <f>IF(A52="",0,(B52*6)+(C52*0))</f>
        <v/>
      </c>
      <c r="AP52" s="54">
        <f>IF(A52="",0,(B52*4)+(C52*10))</f>
        <v/>
      </c>
      <c r="AQ52" s="54">
        <f>IF(A52="",0,(B52*65)+(C52*80))</f>
        <v/>
      </c>
      <c r="AR52" s="54">
        <f>IF(A52="",0,(B52*0)+(C52*5))</f>
        <v/>
      </c>
      <c r="AS52" s="54">
        <f>IF(A52="",0,(B52*0)+(C52*50))</f>
        <v/>
      </c>
      <c r="AT52" s="54">
        <f>IF(A52="",0,(G52*25.51+N52*30+S52*7.5)/1000)</f>
        <v/>
      </c>
      <c r="AU52" s="54">
        <f>IF(A52="",0,(H52*21.74+V52*7.5)/1000)</f>
        <v/>
      </c>
      <c r="AV52" s="54">
        <f>IF(A52="",0,(G52*0.71)/1000)</f>
        <v/>
      </c>
      <c r="AW52" s="54">
        <f>IF(A52="",0,(AB52*5)/1000)</f>
        <v/>
      </c>
      <c r="AX52" s="54">
        <f>IF(A52="",0,(Y52*7)/1000)</f>
        <v/>
      </c>
      <c r="AY52" s="54">
        <f>IF(A52="",0,(AE52*7)/1000)</f>
        <v/>
      </c>
      <c r="AZ52" s="54">
        <f>IF(A52="",0,ROUNDUP((H52+N52)/115,0)*1.5)</f>
        <v/>
      </c>
      <c r="BA52" s="54">
        <f>IF(A52="",0,ROUNDUP((H52+N52)/115,0)*20)</f>
        <v/>
      </c>
      <c r="BB52" s="54">
        <f>IF(A52="",0,ROUNDUP((H52+N52)/115,0)*80)</f>
        <v/>
      </c>
      <c r="BC52" s="54">
        <f>IF(A52="",0,ROUNDUP((H52+N52)/115,0)*5)</f>
        <v/>
      </c>
      <c r="BD52" s="54">
        <f>IF(A52="",0,ROUNDUP((H52+N52)/115,0)*2.5)</f>
        <v/>
      </c>
    </row>
    <row r="53">
      <c r="A53" s="127" t="n"/>
      <c r="B53" s="128" t="n"/>
      <c r="C53" s="128" t="n"/>
      <c r="D53" s="116">
        <f>IF(A53="","",B53*1508)</f>
        <v/>
      </c>
      <c r="E53" s="128" t="n"/>
      <c r="F53" s="128" t="n"/>
      <c r="G53" s="128" t="n"/>
      <c r="H53" s="128" t="n"/>
      <c r="I53" s="116">
        <f>IF(A53="","",MAX((E53/2)-G53,0))</f>
        <v/>
      </c>
      <c r="J53" s="117">
        <f>IF(OR(A53="",E53=0),"",I53/(E53/2))</f>
        <v/>
      </c>
      <c r="K53" s="116">
        <f>IF(A53="","",MAX((F53/2)-H53,0))</f>
        <v/>
      </c>
      <c r="L53" s="117">
        <f>IF(OR(A53="",F53=0),"",K53/(F53/2))</f>
        <v/>
      </c>
      <c r="M53" s="128" t="n"/>
      <c r="N53" s="128" t="n"/>
      <c r="O53" s="116">
        <f>IF(A53="","",MAX((M53/3)-N53,0))</f>
        <v/>
      </c>
      <c r="P53" s="117">
        <f>IF(OR(A53="",M53=0),"",O53/(M53/3))</f>
        <v/>
      </c>
      <c r="Q53" s="116">
        <f>IF(A53="","",C53*1508)</f>
        <v/>
      </c>
      <c r="R53" s="128" t="n"/>
      <c r="S53" s="128" t="n"/>
      <c r="T53" s="117">
        <f>IF(OR(A53="",R53=0),"",MAX(R53-S53,0)/R53)</f>
        <v/>
      </c>
      <c r="U53" s="128" t="n"/>
      <c r="V53" s="128" t="n"/>
      <c r="W53" s="117">
        <f>IF(OR(A53="",U53=0),"",MAX(U53-V53,0)/U53)</f>
        <v/>
      </c>
      <c r="X53" s="128" t="n"/>
      <c r="Y53" s="128" t="n"/>
      <c r="Z53" s="117">
        <f>IF(OR(A53="",X53=0),"",MAX(X53-Y53,0)/X53)</f>
        <v/>
      </c>
      <c r="AA53" s="128" t="n"/>
      <c r="AB53" s="128" t="n"/>
      <c r="AC53" s="117">
        <f>IF(OR(A53="",AA53=0),"",MAX(AA53-AB53,0)/AA53)</f>
        <v/>
      </c>
      <c r="AD53" s="128" t="n"/>
      <c r="AE53" s="128" t="n"/>
      <c r="AF53" s="117">
        <f>IF(OR(A53="",AD53=0),"",MAX(AD53-AE53,0)/AD53)</f>
        <v/>
      </c>
      <c r="AG53" s="54">
        <f>IF(A53="",0,(B53*40)+(C53*40))</f>
        <v/>
      </c>
      <c r="AH53" s="54">
        <f>IF(A53="",0,(B53*100)+(C53*0))</f>
        <v/>
      </c>
      <c r="AI53" s="54">
        <f>IF(A53="",0,(B53*10)+(C53*0))</f>
        <v/>
      </c>
      <c r="AJ53" s="54">
        <f>IF(A53="",0,(B53*50)+(C53*0))</f>
        <v/>
      </c>
      <c r="AK53" s="54">
        <f>IF(A53="",0,(B53*20)+(C53*0))</f>
        <v/>
      </c>
      <c r="AL53" s="54">
        <f>IF(A53="",0,(B53*60)+(C53*0))</f>
        <v/>
      </c>
      <c r="AM53" s="54">
        <f>IF(A53="",0,(B53*4)+(C53*4))</f>
        <v/>
      </c>
      <c r="AN53" s="54">
        <f>IF(A53="",0,(B53*4)+(C53*4))</f>
        <v/>
      </c>
      <c r="AO53" s="54">
        <f>IF(A53="",0,(B53*6)+(C53*0))</f>
        <v/>
      </c>
      <c r="AP53" s="54">
        <f>IF(A53="",0,(B53*4)+(C53*10))</f>
        <v/>
      </c>
      <c r="AQ53" s="54">
        <f>IF(A53="",0,(B53*65)+(C53*80))</f>
        <v/>
      </c>
      <c r="AR53" s="54">
        <f>IF(A53="",0,(B53*0)+(C53*5))</f>
        <v/>
      </c>
      <c r="AS53" s="54">
        <f>IF(A53="",0,(B53*0)+(C53*50))</f>
        <v/>
      </c>
      <c r="AT53" s="54">
        <f>IF(A53="",0,(G53*25.51+N53*30+S53*7.5)/1000)</f>
        <v/>
      </c>
      <c r="AU53" s="54">
        <f>IF(A53="",0,(H53*21.74+V53*7.5)/1000)</f>
        <v/>
      </c>
      <c r="AV53" s="54">
        <f>IF(A53="",0,(G53*0.71)/1000)</f>
        <v/>
      </c>
      <c r="AW53" s="54">
        <f>IF(A53="",0,(AB53*5)/1000)</f>
        <v/>
      </c>
      <c r="AX53" s="54">
        <f>IF(A53="",0,(Y53*7)/1000)</f>
        <v/>
      </c>
      <c r="AY53" s="54">
        <f>IF(A53="",0,(AE53*7)/1000)</f>
        <v/>
      </c>
      <c r="AZ53" s="54">
        <f>IF(A53="",0,ROUNDUP((H53+N53)/115,0)*1.5)</f>
        <v/>
      </c>
      <c r="BA53" s="54">
        <f>IF(A53="",0,ROUNDUP((H53+N53)/115,0)*20)</f>
        <v/>
      </c>
      <c r="BB53" s="54">
        <f>IF(A53="",0,ROUNDUP((H53+N53)/115,0)*80)</f>
        <v/>
      </c>
      <c r="BC53" s="54">
        <f>IF(A53="",0,ROUNDUP((H53+N53)/115,0)*5)</f>
        <v/>
      </c>
      <c r="BD53" s="54">
        <f>IF(A53="",0,ROUNDUP((H53+N53)/115,0)*2.5)</f>
        <v/>
      </c>
    </row>
    <row r="54">
      <c r="A54" s="127" t="n"/>
      <c r="B54" s="128" t="n"/>
      <c r="C54" s="128" t="n"/>
      <c r="D54" s="116">
        <f>IF(A54="","",B54*1508)</f>
        <v/>
      </c>
      <c r="E54" s="128" t="n"/>
      <c r="F54" s="128" t="n"/>
      <c r="G54" s="128" t="n"/>
      <c r="H54" s="128" t="n"/>
      <c r="I54" s="116">
        <f>IF(A54="","",MAX((E54/2)-G54,0))</f>
        <v/>
      </c>
      <c r="J54" s="117">
        <f>IF(OR(A54="",E54=0),"",I54/(E54/2))</f>
        <v/>
      </c>
      <c r="K54" s="116">
        <f>IF(A54="","",MAX((F54/2)-H54,0))</f>
        <v/>
      </c>
      <c r="L54" s="117">
        <f>IF(OR(A54="",F54=0),"",K54/(F54/2))</f>
        <v/>
      </c>
      <c r="M54" s="128" t="n"/>
      <c r="N54" s="128" t="n"/>
      <c r="O54" s="116">
        <f>IF(A54="","",MAX((M54/3)-N54,0))</f>
        <v/>
      </c>
      <c r="P54" s="117">
        <f>IF(OR(A54="",M54=0),"",O54/(M54/3))</f>
        <v/>
      </c>
      <c r="Q54" s="116">
        <f>IF(A54="","",C54*1508)</f>
        <v/>
      </c>
      <c r="R54" s="128" t="n"/>
      <c r="S54" s="128" t="n"/>
      <c r="T54" s="117">
        <f>IF(OR(A54="",R54=0),"",MAX(R54-S54,0)/R54)</f>
        <v/>
      </c>
      <c r="U54" s="128" t="n"/>
      <c r="V54" s="128" t="n"/>
      <c r="W54" s="117">
        <f>IF(OR(A54="",U54=0),"",MAX(U54-V54,0)/U54)</f>
        <v/>
      </c>
      <c r="X54" s="128" t="n"/>
      <c r="Y54" s="128" t="n"/>
      <c r="Z54" s="117">
        <f>IF(OR(A54="",X54=0),"",MAX(X54-Y54,0)/X54)</f>
        <v/>
      </c>
      <c r="AA54" s="128" t="n"/>
      <c r="AB54" s="128" t="n"/>
      <c r="AC54" s="117">
        <f>IF(OR(A54="",AA54=0),"",MAX(AA54-AB54,0)/AA54)</f>
        <v/>
      </c>
      <c r="AD54" s="128" t="n"/>
      <c r="AE54" s="128" t="n"/>
      <c r="AF54" s="117">
        <f>IF(OR(A54="",AD54=0),"",MAX(AD54-AE54,0)/AD54)</f>
        <v/>
      </c>
      <c r="AG54" s="54">
        <f>IF(A54="",0,(B54*40)+(C54*40))</f>
        <v/>
      </c>
      <c r="AH54" s="54">
        <f>IF(A54="",0,(B54*100)+(C54*0))</f>
        <v/>
      </c>
      <c r="AI54" s="54">
        <f>IF(A54="",0,(B54*10)+(C54*0))</f>
        <v/>
      </c>
      <c r="AJ54" s="54">
        <f>IF(A54="",0,(B54*50)+(C54*0))</f>
        <v/>
      </c>
      <c r="AK54" s="54">
        <f>IF(A54="",0,(B54*20)+(C54*0))</f>
        <v/>
      </c>
      <c r="AL54" s="54">
        <f>IF(A54="",0,(B54*60)+(C54*0))</f>
        <v/>
      </c>
      <c r="AM54" s="54">
        <f>IF(A54="",0,(B54*4)+(C54*4))</f>
        <v/>
      </c>
      <c r="AN54" s="54">
        <f>IF(A54="",0,(B54*4)+(C54*4))</f>
        <v/>
      </c>
      <c r="AO54" s="54">
        <f>IF(A54="",0,(B54*6)+(C54*0))</f>
        <v/>
      </c>
      <c r="AP54" s="54">
        <f>IF(A54="",0,(B54*4)+(C54*10))</f>
        <v/>
      </c>
      <c r="AQ54" s="54">
        <f>IF(A54="",0,(B54*65)+(C54*80))</f>
        <v/>
      </c>
      <c r="AR54" s="54">
        <f>IF(A54="",0,(B54*0)+(C54*5))</f>
        <v/>
      </c>
      <c r="AS54" s="54">
        <f>IF(A54="",0,(B54*0)+(C54*50))</f>
        <v/>
      </c>
      <c r="AT54" s="54">
        <f>IF(A54="",0,(G54*25.51+N54*30+S54*7.5)/1000)</f>
        <v/>
      </c>
      <c r="AU54" s="54">
        <f>IF(A54="",0,(H54*21.74+V54*7.5)/1000)</f>
        <v/>
      </c>
      <c r="AV54" s="54">
        <f>IF(A54="",0,(G54*0.71)/1000)</f>
        <v/>
      </c>
      <c r="AW54" s="54">
        <f>IF(A54="",0,(AB54*5)/1000)</f>
        <v/>
      </c>
      <c r="AX54" s="54">
        <f>IF(A54="",0,(Y54*7)/1000)</f>
        <v/>
      </c>
      <c r="AY54" s="54">
        <f>IF(A54="",0,(AE54*7)/1000)</f>
        <v/>
      </c>
      <c r="AZ54" s="54">
        <f>IF(A54="",0,ROUNDUP((H54+N54)/115,0)*1.5)</f>
        <v/>
      </c>
      <c r="BA54" s="54">
        <f>IF(A54="",0,ROUNDUP((H54+N54)/115,0)*20)</f>
        <v/>
      </c>
      <c r="BB54" s="54">
        <f>IF(A54="",0,ROUNDUP((H54+N54)/115,0)*80)</f>
        <v/>
      </c>
      <c r="BC54" s="54">
        <f>IF(A54="",0,ROUNDUP((H54+N54)/115,0)*5)</f>
        <v/>
      </c>
      <c r="BD54" s="54">
        <f>IF(A54="",0,ROUNDUP((H54+N54)/115,0)*2.5)</f>
        <v/>
      </c>
    </row>
    <row r="55">
      <c r="A55" s="127" t="n"/>
      <c r="B55" s="128" t="n"/>
      <c r="C55" s="128" t="n"/>
      <c r="D55" s="116">
        <f>IF(A55="","",B55*1508)</f>
        <v/>
      </c>
      <c r="E55" s="128" t="n"/>
      <c r="F55" s="128" t="n"/>
      <c r="G55" s="128" t="n"/>
      <c r="H55" s="128" t="n"/>
      <c r="I55" s="116">
        <f>IF(A55="","",MAX((E55/2)-G55,0))</f>
        <v/>
      </c>
      <c r="J55" s="117">
        <f>IF(OR(A55="",E55=0),"",I55/(E55/2))</f>
        <v/>
      </c>
      <c r="K55" s="116">
        <f>IF(A55="","",MAX((F55/2)-H55,0))</f>
        <v/>
      </c>
      <c r="L55" s="117">
        <f>IF(OR(A55="",F55=0),"",K55/(F55/2))</f>
        <v/>
      </c>
      <c r="M55" s="128" t="n"/>
      <c r="N55" s="128" t="n"/>
      <c r="O55" s="116">
        <f>IF(A55="","",MAX((M55/3)-N55,0))</f>
        <v/>
      </c>
      <c r="P55" s="117">
        <f>IF(OR(A55="",M55=0),"",O55/(M55/3))</f>
        <v/>
      </c>
      <c r="Q55" s="116">
        <f>IF(A55="","",C55*1508)</f>
        <v/>
      </c>
      <c r="R55" s="128" t="n"/>
      <c r="S55" s="128" t="n"/>
      <c r="T55" s="117">
        <f>IF(OR(A55="",R55=0),"",MAX(R55-S55,0)/R55)</f>
        <v/>
      </c>
      <c r="U55" s="128" t="n"/>
      <c r="V55" s="128" t="n"/>
      <c r="W55" s="117">
        <f>IF(OR(A55="",U55=0),"",MAX(U55-V55,0)/U55)</f>
        <v/>
      </c>
      <c r="X55" s="128" t="n"/>
      <c r="Y55" s="128" t="n"/>
      <c r="Z55" s="117">
        <f>IF(OR(A55="",X55=0),"",MAX(X55-Y55,0)/X55)</f>
        <v/>
      </c>
      <c r="AA55" s="128" t="n"/>
      <c r="AB55" s="128" t="n"/>
      <c r="AC55" s="117">
        <f>IF(OR(A55="",AA55=0),"",MAX(AA55-AB55,0)/AA55)</f>
        <v/>
      </c>
      <c r="AD55" s="128" t="n"/>
      <c r="AE55" s="128" t="n"/>
      <c r="AF55" s="117">
        <f>IF(OR(A55="",AD55=0),"",MAX(AD55-AE55,0)/AD55)</f>
        <v/>
      </c>
      <c r="AG55" s="54">
        <f>IF(A55="",0,(B55*40)+(C55*40))</f>
        <v/>
      </c>
      <c r="AH55" s="54">
        <f>IF(A55="",0,(B55*100)+(C55*0))</f>
        <v/>
      </c>
      <c r="AI55" s="54">
        <f>IF(A55="",0,(B55*10)+(C55*0))</f>
        <v/>
      </c>
      <c r="AJ55" s="54">
        <f>IF(A55="",0,(B55*50)+(C55*0))</f>
        <v/>
      </c>
      <c r="AK55" s="54">
        <f>IF(A55="",0,(B55*20)+(C55*0))</f>
        <v/>
      </c>
      <c r="AL55" s="54">
        <f>IF(A55="",0,(B55*60)+(C55*0))</f>
        <v/>
      </c>
      <c r="AM55" s="54">
        <f>IF(A55="",0,(B55*4)+(C55*4))</f>
        <v/>
      </c>
      <c r="AN55" s="54">
        <f>IF(A55="",0,(B55*4)+(C55*4))</f>
        <v/>
      </c>
      <c r="AO55" s="54">
        <f>IF(A55="",0,(B55*6)+(C55*0))</f>
        <v/>
      </c>
      <c r="AP55" s="54">
        <f>IF(A55="",0,(B55*4)+(C55*10))</f>
        <v/>
      </c>
      <c r="AQ55" s="54">
        <f>IF(A55="",0,(B55*65)+(C55*80))</f>
        <v/>
      </c>
      <c r="AR55" s="54">
        <f>IF(A55="",0,(B55*0)+(C55*5))</f>
        <v/>
      </c>
      <c r="AS55" s="54">
        <f>IF(A55="",0,(B55*0)+(C55*50))</f>
        <v/>
      </c>
      <c r="AT55" s="54">
        <f>IF(A55="",0,(G55*25.51+N55*30+S55*7.5)/1000)</f>
        <v/>
      </c>
      <c r="AU55" s="54">
        <f>IF(A55="",0,(H55*21.74+V55*7.5)/1000)</f>
        <v/>
      </c>
      <c r="AV55" s="54">
        <f>IF(A55="",0,(G55*0.71)/1000)</f>
        <v/>
      </c>
      <c r="AW55" s="54">
        <f>IF(A55="",0,(AB55*5)/1000)</f>
        <v/>
      </c>
      <c r="AX55" s="54">
        <f>IF(A55="",0,(Y55*7)/1000)</f>
        <v/>
      </c>
      <c r="AY55" s="54">
        <f>IF(A55="",0,(AE55*7)/1000)</f>
        <v/>
      </c>
      <c r="AZ55" s="54">
        <f>IF(A55="",0,ROUNDUP((H55+N55)/115,0)*1.5)</f>
        <v/>
      </c>
      <c r="BA55" s="54">
        <f>IF(A55="",0,ROUNDUP((H55+N55)/115,0)*20)</f>
        <v/>
      </c>
      <c r="BB55" s="54">
        <f>IF(A55="",0,ROUNDUP((H55+N55)/115,0)*80)</f>
        <v/>
      </c>
      <c r="BC55" s="54">
        <f>IF(A55="",0,ROUNDUP((H55+N55)/115,0)*5)</f>
        <v/>
      </c>
      <c r="BD55" s="54">
        <f>IF(A55="",0,ROUNDUP((H55+N55)/115,0)*2.5)</f>
        <v/>
      </c>
    </row>
    <row r="56">
      <c r="A56" s="127" t="n"/>
      <c r="B56" s="128" t="n"/>
      <c r="C56" s="128" t="n"/>
      <c r="D56" s="116">
        <f>IF(A56="","",B56*1508)</f>
        <v/>
      </c>
      <c r="E56" s="128" t="n"/>
      <c r="F56" s="128" t="n"/>
      <c r="G56" s="128" t="n"/>
      <c r="H56" s="128" t="n"/>
      <c r="I56" s="116">
        <f>IF(A56="","",MAX((E56/2)-G56,0))</f>
        <v/>
      </c>
      <c r="J56" s="117">
        <f>IF(OR(A56="",E56=0),"",I56/(E56/2))</f>
        <v/>
      </c>
      <c r="K56" s="116">
        <f>IF(A56="","",MAX((F56/2)-H56,0))</f>
        <v/>
      </c>
      <c r="L56" s="117">
        <f>IF(OR(A56="",F56=0),"",K56/(F56/2))</f>
        <v/>
      </c>
      <c r="M56" s="128" t="n"/>
      <c r="N56" s="128" t="n"/>
      <c r="O56" s="116">
        <f>IF(A56="","",MAX((M56/3)-N56,0))</f>
        <v/>
      </c>
      <c r="P56" s="117">
        <f>IF(OR(A56="",M56=0),"",O56/(M56/3))</f>
        <v/>
      </c>
      <c r="Q56" s="116">
        <f>IF(A56="","",C56*1508)</f>
        <v/>
      </c>
      <c r="R56" s="128" t="n"/>
      <c r="S56" s="128" t="n"/>
      <c r="T56" s="117">
        <f>IF(OR(A56="",R56=0),"",MAX(R56-S56,0)/R56)</f>
        <v/>
      </c>
      <c r="U56" s="128" t="n"/>
      <c r="V56" s="128" t="n"/>
      <c r="W56" s="117">
        <f>IF(OR(A56="",U56=0),"",MAX(U56-V56,0)/U56)</f>
        <v/>
      </c>
      <c r="X56" s="128" t="n"/>
      <c r="Y56" s="128" t="n"/>
      <c r="Z56" s="117">
        <f>IF(OR(A56="",X56=0),"",MAX(X56-Y56,0)/X56)</f>
        <v/>
      </c>
      <c r="AA56" s="128" t="n"/>
      <c r="AB56" s="128" t="n"/>
      <c r="AC56" s="117">
        <f>IF(OR(A56="",AA56=0),"",MAX(AA56-AB56,0)/AA56)</f>
        <v/>
      </c>
      <c r="AD56" s="128" t="n"/>
      <c r="AE56" s="128" t="n"/>
      <c r="AF56" s="117">
        <f>IF(OR(A56="",AD56=0),"",MAX(AD56-AE56,0)/AD56)</f>
        <v/>
      </c>
      <c r="AG56" s="54">
        <f>IF(A56="",0,(B56*40)+(C56*40))</f>
        <v/>
      </c>
      <c r="AH56" s="54">
        <f>IF(A56="",0,(B56*100)+(C56*0))</f>
        <v/>
      </c>
      <c r="AI56" s="54">
        <f>IF(A56="",0,(B56*10)+(C56*0))</f>
        <v/>
      </c>
      <c r="AJ56" s="54">
        <f>IF(A56="",0,(B56*50)+(C56*0))</f>
        <v/>
      </c>
      <c r="AK56" s="54">
        <f>IF(A56="",0,(B56*20)+(C56*0))</f>
        <v/>
      </c>
      <c r="AL56" s="54">
        <f>IF(A56="",0,(B56*60)+(C56*0))</f>
        <v/>
      </c>
      <c r="AM56" s="54">
        <f>IF(A56="",0,(B56*4)+(C56*4))</f>
        <v/>
      </c>
      <c r="AN56" s="54">
        <f>IF(A56="",0,(B56*4)+(C56*4))</f>
        <v/>
      </c>
      <c r="AO56" s="54">
        <f>IF(A56="",0,(B56*6)+(C56*0))</f>
        <v/>
      </c>
      <c r="AP56" s="54">
        <f>IF(A56="",0,(B56*4)+(C56*10))</f>
        <v/>
      </c>
      <c r="AQ56" s="54">
        <f>IF(A56="",0,(B56*65)+(C56*80))</f>
        <v/>
      </c>
      <c r="AR56" s="54">
        <f>IF(A56="",0,(B56*0)+(C56*5))</f>
        <v/>
      </c>
      <c r="AS56" s="54">
        <f>IF(A56="",0,(B56*0)+(C56*50))</f>
        <v/>
      </c>
      <c r="AT56" s="54">
        <f>IF(A56="",0,(G56*25.51+N56*30+S56*7.5)/1000)</f>
        <v/>
      </c>
      <c r="AU56" s="54">
        <f>IF(A56="",0,(H56*21.74+V56*7.5)/1000)</f>
        <v/>
      </c>
      <c r="AV56" s="54">
        <f>IF(A56="",0,(G56*0.71)/1000)</f>
        <v/>
      </c>
      <c r="AW56" s="54">
        <f>IF(A56="",0,(AB56*5)/1000)</f>
        <v/>
      </c>
      <c r="AX56" s="54">
        <f>IF(A56="",0,(Y56*7)/1000)</f>
        <v/>
      </c>
      <c r="AY56" s="54">
        <f>IF(A56="",0,(AE56*7)/1000)</f>
        <v/>
      </c>
      <c r="AZ56" s="54">
        <f>IF(A56="",0,ROUNDUP((H56+N56)/115,0)*1.5)</f>
        <v/>
      </c>
      <c r="BA56" s="54">
        <f>IF(A56="",0,ROUNDUP((H56+N56)/115,0)*20)</f>
        <v/>
      </c>
      <c r="BB56" s="54">
        <f>IF(A56="",0,ROUNDUP((H56+N56)/115,0)*80)</f>
        <v/>
      </c>
      <c r="BC56" s="54">
        <f>IF(A56="",0,ROUNDUP((H56+N56)/115,0)*5)</f>
        <v/>
      </c>
      <c r="BD56" s="54">
        <f>IF(A56="",0,ROUNDUP((H56+N56)/115,0)*2.5)</f>
        <v/>
      </c>
    </row>
    <row r="57">
      <c r="A57" s="127" t="n"/>
      <c r="B57" s="128" t="n"/>
      <c r="C57" s="128" t="n"/>
      <c r="D57" s="116">
        <f>IF(A57="","",B57*1508)</f>
        <v/>
      </c>
      <c r="E57" s="128" t="n"/>
      <c r="F57" s="128" t="n"/>
      <c r="G57" s="128" t="n"/>
      <c r="H57" s="128" t="n"/>
      <c r="I57" s="116">
        <f>IF(A57="","",MAX((E57/2)-G57,0))</f>
        <v/>
      </c>
      <c r="J57" s="117">
        <f>IF(OR(A57="",E57=0),"",I57/(E57/2))</f>
        <v/>
      </c>
      <c r="K57" s="116">
        <f>IF(A57="","",MAX((F57/2)-H57,0))</f>
        <v/>
      </c>
      <c r="L57" s="117">
        <f>IF(OR(A57="",F57=0),"",K57/(F57/2))</f>
        <v/>
      </c>
      <c r="M57" s="128" t="n"/>
      <c r="N57" s="128" t="n"/>
      <c r="O57" s="116">
        <f>IF(A57="","",MAX((M57/3)-N57,0))</f>
        <v/>
      </c>
      <c r="P57" s="117">
        <f>IF(OR(A57="",M57=0),"",O57/(M57/3))</f>
        <v/>
      </c>
      <c r="Q57" s="116">
        <f>IF(A57="","",C57*1508)</f>
        <v/>
      </c>
      <c r="R57" s="128" t="n"/>
      <c r="S57" s="128" t="n"/>
      <c r="T57" s="117">
        <f>IF(OR(A57="",R57=0),"",MAX(R57-S57,0)/R57)</f>
        <v/>
      </c>
      <c r="U57" s="128" t="n"/>
      <c r="V57" s="128" t="n"/>
      <c r="W57" s="117">
        <f>IF(OR(A57="",U57=0),"",MAX(U57-V57,0)/U57)</f>
        <v/>
      </c>
      <c r="X57" s="128" t="n"/>
      <c r="Y57" s="128" t="n"/>
      <c r="Z57" s="117">
        <f>IF(OR(A57="",X57=0),"",MAX(X57-Y57,0)/X57)</f>
        <v/>
      </c>
      <c r="AA57" s="128" t="n"/>
      <c r="AB57" s="128" t="n"/>
      <c r="AC57" s="117">
        <f>IF(OR(A57="",AA57=0),"",MAX(AA57-AB57,0)/AA57)</f>
        <v/>
      </c>
      <c r="AD57" s="128" t="n"/>
      <c r="AE57" s="128" t="n"/>
      <c r="AF57" s="117">
        <f>IF(OR(A57="",AD57=0),"",MAX(AD57-AE57,0)/AD57)</f>
        <v/>
      </c>
      <c r="AG57" s="54">
        <f>IF(A57="",0,(B57*40)+(C57*40))</f>
        <v/>
      </c>
      <c r="AH57" s="54">
        <f>IF(A57="",0,(B57*100)+(C57*0))</f>
        <v/>
      </c>
      <c r="AI57" s="54">
        <f>IF(A57="",0,(B57*10)+(C57*0))</f>
        <v/>
      </c>
      <c r="AJ57" s="54">
        <f>IF(A57="",0,(B57*50)+(C57*0))</f>
        <v/>
      </c>
      <c r="AK57" s="54">
        <f>IF(A57="",0,(B57*20)+(C57*0))</f>
        <v/>
      </c>
      <c r="AL57" s="54">
        <f>IF(A57="",0,(B57*60)+(C57*0))</f>
        <v/>
      </c>
      <c r="AM57" s="54">
        <f>IF(A57="",0,(B57*4)+(C57*4))</f>
        <v/>
      </c>
      <c r="AN57" s="54">
        <f>IF(A57="",0,(B57*4)+(C57*4))</f>
        <v/>
      </c>
      <c r="AO57" s="54">
        <f>IF(A57="",0,(B57*6)+(C57*0))</f>
        <v/>
      </c>
      <c r="AP57" s="54">
        <f>IF(A57="",0,(B57*4)+(C57*10))</f>
        <v/>
      </c>
      <c r="AQ57" s="54">
        <f>IF(A57="",0,(B57*65)+(C57*80))</f>
        <v/>
      </c>
      <c r="AR57" s="54">
        <f>IF(A57="",0,(B57*0)+(C57*5))</f>
        <v/>
      </c>
      <c r="AS57" s="54">
        <f>IF(A57="",0,(B57*0)+(C57*50))</f>
        <v/>
      </c>
      <c r="AT57" s="54">
        <f>IF(A57="",0,(G57*25.51+N57*30+S57*7.5)/1000)</f>
        <v/>
      </c>
      <c r="AU57" s="54">
        <f>IF(A57="",0,(H57*21.74+V57*7.5)/1000)</f>
        <v/>
      </c>
      <c r="AV57" s="54">
        <f>IF(A57="",0,(G57*0.71)/1000)</f>
        <v/>
      </c>
      <c r="AW57" s="54">
        <f>IF(A57="",0,(AB57*5)/1000)</f>
        <v/>
      </c>
      <c r="AX57" s="54">
        <f>IF(A57="",0,(Y57*7)/1000)</f>
        <v/>
      </c>
      <c r="AY57" s="54">
        <f>IF(A57="",0,(AE57*7)/1000)</f>
        <v/>
      </c>
      <c r="AZ57" s="54">
        <f>IF(A57="",0,ROUNDUP((H57+N57)/115,0)*1.5)</f>
        <v/>
      </c>
      <c r="BA57" s="54">
        <f>IF(A57="",0,ROUNDUP((H57+N57)/115,0)*20)</f>
        <v/>
      </c>
      <c r="BB57" s="54">
        <f>IF(A57="",0,ROUNDUP((H57+N57)/115,0)*80)</f>
        <v/>
      </c>
      <c r="BC57" s="54">
        <f>IF(A57="",0,ROUNDUP((H57+N57)/115,0)*5)</f>
        <v/>
      </c>
      <c r="BD57" s="54">
        <f>IF(A57="",0,ROUNDUP((H57+N57)/115,0)*2.5)</f>
        <v/>
      </c>
    </row>
    <row r="58">
      <c r="A58" s="127" t="n"/>
      <c r="B58" s="128" t="n"/>
      <c r="C58" s="128" t="n"/>
      <c r="D58" s="116">
        <f>IF(A58="","",B58*1508)</f>
        <v/>
      </c>
      <c r="E58" s="128" t="n"/>
      <c r="F58" s="128" t="n"/>
      <c r="G58" s="128" t="n"/>
      <c r="H58" s="128" t="n"/>
      <c r="I58" s="116">
        <f>IF(A58="","",MAX((E58/2)-G58,0))</f>
        <v/>
      </c>
      <c r="J58" s="117">
        <f>IF(OR(A58="",E58=0),"",I58/(E58/2))</f>
        <v/>
      </c>
      <c r="K58" s="116">
        <f>IF(A58="","",MAX((F58/2)-H58,0))</f>
        <v/>
      </c>
      <c r="L58" s="117">
        <f>IF(OR(A58="",F58=0),"",K58/(F58/2))</f>
        <v/>
      </c>
      <c r="M58" s="128" t="n"/>
      <c r="N58" s="128" t="n"/>
      <c r="O58" s="116">
        <f>IF(A58="","",MAX((M58/3)-N58,0))</f>
        <v/>
      </c>
      <c r="P58" s="117">
        <f>IF(OR(A58="",M58=0),"",O58/(M58/3))</f>
        <v/>
      </c>
      <c r="Q58" s="116">
        <f>IF(A58="","",C58*1508)</f>
        <v/>
      </c>
      <c r="R58" s="128" t="n"/>
      <c r="S58" s="128" t="n"/>
      <c r="T58" s="117">
        <f>IF(OR(A58="",R58=0),"",MAX(R58-S58,0)/R58)</f>
        <v/>
      </c>
      <c r="U58" s="128" t="n"/>
      <c r="V58" s="128" t="n"/>
      <c r="W58" s="117">
        <f>IF(OR(A58="",U58=0),"",MAX(U58-V58,0)/U58)</f>
        <v/>
      </c>
      <c r="X58" s="128" t="n"/>
      <c r="Y58" s="128" t="n"/>
      <c r="Z58" s="117">
        <f>IF(OR(A58="",X58=0),"",MAX(X58-Y58,0)/X58)</f>
        <v/>
      </c>
      <c r="AA58" s="128" t="n"/>
      <c r="AB58" s="128" t="n"/>
      <c r="AC58" s="117">
        <f>IF(OR(A58="",AA58=0),"",MAX(AA58-AB58,0)/AA58)</f>
        <v/>
      </c>
      <c r="AD58" s="128" t="n"/>
      <c r="AE58" s="128" t="n"/>
      <c r="AF58" s="117">
        <f>IF(OR(A58="",AD58=0),"",MAX(AD58-AE58,0)/AD58)</f>
        <v/>
      </c>
      <c r="AG58" s="54">
        <f>IF(A58="",0,(B58*40)+(C58*40))</f>
        <v/>
      </c>
      <c r="AH58" s="54">
        <f>IF(A58="",0,(B58*100)+(C58*0))</f>
        <v/>
      </c>
      <c r="AI58" s="54">
        <f>IF(A58="",0,(B58*10)+(C58*0))</f>
        <v/>
      </c>
      <c r="AJ58" s="54">
        <f>IF(A58="",0,(B58*50)+(C58*0))</f>
        <v/>
      </c>
      <c r="AK58" s="54">
        <f>IF(A58="",0,(B58*20)+(C58*0))</f>
        <v/>
      </c>
      <c r="AL58" s="54">
        <f>IF(A58="",0,(B58*60)+(C58*0))</f>
        <v/>
      </c>
      <c r="AM58" s="54">
        <f>IF(A58="",0,(B58*4)+(C58*4))</f>
        <v/>
      </c>
      <c r="AN58" s="54">
        <f>IF(A58="",0,(B58*4)+(C58*4))</f>
        <v/>
      </c>
      <c r="AO58" s="54">
        <f>IF(A58="",0,(B58*6)+(C58*0))</f>
        <v/>
      </c>
      <c r="AP58" s="54">
        <f>IF(A58="",0,(B58*4)+(C58*10))</f>
        <v/>
      </c>
      <c r="AQ58" s="54">
        <f>IF(A58="",0,(B58*65)+(C58*80))</f>
        <v/>
      </c>
      <c r="AR58" s="54">
        <f>IF(A58="",0,(B58*0)+(C58*5))</f>
        <v/>
      </c>
      <c r="AS58" s="54">
        <f>IF(A58="",0,(B58*0)+(C58*50))</f>
        <v/>
      </c>
      <c r="AT58" s="54">
        <f>IF(A58="",0,(G58*25.51+N58*30+S58*7.5)/1000)</f>
        <v/>
      </c>
      <c r="AU58" s="54">
        <f>IF(A58="",0,(H58*21.74+V58*7.5)/1000)</f>
        <v/>
      </c>
      <c r="AV58" s="54">
        <f>IF(A58="",0,(G58*0.71)/1000)</f>
        <v/>
      </c>
      <c r="AW58" s="54">
        <f>IF(A58="",0,(AB58*5)/1000)</f>
        <v/>
      </c>
      <c r="AX58" s="54">
        <f>IF(A58="",0,(Y58*7)/1000)</f>
        <v/>
      </c>
      <c r="AY58" s="54">
        <f>IF(A58="",0,(AE58*7)/1000)</f>
        <v/>
      </c>
      <c r="AZ58" s="54">
        <f>IF(A58="",0,ROUNDUP((H58+N58)/115,0)*1.5)</f>
        <v/>
      </c>
      <c r="BA58" s="54">
        <f>IF(A58="",0,ROUNDUP((H58+N58)/115,0)*20)</f>
        <v/>
      </c>
      <c r="BB58" s="54">
        <f>IF(A58="",0,ROUNDUP((H58+N58)/115,0)*80)</f>
        <v/>
      </c>
      <c r="BC58" s="54">
        <f>IF(A58="",0,ROUNDUP((H58+N58)/115,0)*5)</f>
        <v/>
      </c>
      <c r="BD58" s="54">
        <f>IF(A58="",0,ROUNDUP((H58+N58)/115,0)*2.5)</f>
        <v/>
      </c>
    </row>
    <row r="59">
      <c r="A59" s="127" t="n"/>
      <c r="B59" s="128" t="n"/>
      <c r="C59" s="128" t="n"/>
      <c r="D59" s="116">
        <f>IF(A59="","",B59*1508)</f>
        <v/>
      </c>
      <c r="E59" s="128" t="n"/>
      <c r="F59" s="128" t="n"/>
      <c r="G59" s="128" t="n"/>
      <c r="H59" s="128" t="n"/>
      <c r="I59" s="116">
        <f>IF(A59="","",MAX((E59/2)-G59,0))</f>
        <v/>
      </c>
      <c r="J59" s="117">
        <f>IF(OR(A59="",E59=0),"",I59/(E59/2))</f>
        <v/>
      </c>
      <c r="K59" s="116">
        <f>IF(A59="","",MAX((F59/2)-H59,0))</f>
        <v/>
      </c>
      <c r="L59" s="117">
        <f>IF(OR(A59="",F59=0),"",K59/(F59/2))</f>
        <v/>
      </c>
      <c r="M59" s="128" t="n"/>
      <c r="N59" s="128" t="n"/>
      <c r="O59" s="116">
        <f>IF(A59="","",MAX((M59/3)-N59,0))</f>
        <v/>
      </c>
      <c r="P59" s="117">
        <f>IF(OR(A59="",M59=0),"",O59/(M59/3))</f>
        <v/>
      </c>
      <c r="Q59" s="116">
        <f>IF(A59="","",C59*1508)</f>
        <v/>
      </c>
      <c r="R59" s="128" t="n"/>
      <c r="S59" s="128" t="n"/>
      <c r="T59" s="117">
        <f>IF(OR(A59="",R59=0),"",MAX(R59-S59,0)/R59)</f>
        <v/>
      </c>
      <c r="U59" s="128" t="n"/>
      <c r="V59" s="128" t="n"/>
      <c r="W59" s="117">
        <f>IF(OR(A59="",U59=0),"",MAX(U59-V59,0)/U59)</f>
        <v/>
      </c>
      <c r="X59" s="128" t="n"/>
      <c r="Y59" s="128" t="n"/>
      <c r="Z59" s="117">
        <f>IF(OR(A59="",X59=0),"",MAX(X59-Y59,0)/X59)</f>
        <v/>
      </c>
      <c r="AA59" s="128" t="n"/>
      <c r="AB59" s="128" t="n"/>
      <c r="AC59" s="117">
        <f>IF(OR(A59="",AA59=0),"",MAX(AA59-AB59,0)/AA59)</f>
        <v/>
      </c>
      <c r="AD59" s="128" t="n"/>
      <c r="AE59" s="128" t="n"/>
      <c r="AF59" s="117">
        <f>IF(OR(A59="",AD59=0),"",MAX(AD59-AE59,0)/AD59)</f>
        <v/>
      </c>
      <c r="AG59" s="54">
        <f>IF(A59="",0,(B59*40)+(C59*40))</f>
        <v/>
      </c>
      <c r="AH59" s="54">
        <f>IF(A59="",0,(B59*100)+(C59*0))</f>
        <v/>
      </c>
      <c r="AI59" s="54">
        <f>IF(A59="",0,(B59*10)+(C59*0))</f>
        <v/>
      </c>
      <c r="AJ59" s="54">
        <f>IF(A59="",0,(B59*50)+(C59*0))</f>
        <v/>
      </c>
      <c r="AK59" s="54">
        <f>IF(A59="",0,(B59*20)+(C59*0))</f>
        <v/>
      </c>
      <c r="AL59" s="54">
        <f>IF(A59="",0,(B59*60)+(C59*0))</f>
        <v/>
      </c>
      <c r="AM59" s="54">
        <f>IF(A59="",0,(B59*4)+(C59*4))</f>
        <v/>
      </c>
      <c r="AN59" s="54">
        <f>IF(A59="",0,(B59*4)+(C59*4))</f>
        <v/>
      </c>
      <c r="AO59" s="54">
        <f>IF(A59="",0,(B59*6)+(C59*0))</f>
        <v/>
      </c>
      <c r="AP59" s="54">
        <f>IF(A59="",0,(B59*4)+(C59*10))</f>
        <v/>
      </c>
      <c r="AQ59" s="54">
        <f>IF(A59="",0,(B59*65)+(C59*80))</f>
        <v/>
      </c>
      <c r="AR59" s="54">
        <f>IF(A59="",0,(B59*0)+(C59*5))</f>
        <v/>
      </c>
      <c r="AS59" s="54">
        <f>IF(A59="",0,(B59*0)+(C59*50))</f>
        <v/>
      </c>
      <c r="AT59" s="54">
        <f>IF(A59="",0,(G59*25.51+N59*30+S59*7.5)/1000)</f>
        <v/>
      </c>
      <c r="AU59" s="54">
        <f>IF(A59="",0,(H59*21.74+V59*7.5)/1000)</f>
        <v/>
      </c>
      <c r="AV59" s="54">
        <f>IF(A59="",0,(G59*0.71)/1000)</f>
        <v/>
      </c>
      <c r="AW59" s="54">
        <f>IF(A59="",0,(AB59*5)/1000)</f>
        <v/>
      </c>
      <c r="AX59" s="54">
        <f>IF(A59="",0,(Y59*7)/1000)</f>
        <v/>
      </c>
      <c r="AY59" s="54">
        <f>IF(A59="",0,(AE59*7)/1000)</f>
        <v/>
      </c>
      <c r="AZ59" s="54">
        <f>IF(A59="",0,ROUNDUP((H59+N59)/115,0)*1.5)</f>
        <v/>
      </c>
      <c r="BA59" s="54">
        <f>IF(A59="",0,ROUNDUP((H59+N59)/115,0)*20)</f>
        <v/>
      </c>
      <c r="BB59" s="54">
        <f>IF(A59="",0,ROUNDUP((H59+N59)/115,0)*80)</f>
        <v/>
      </c>
      <c r="BC59" s="54">
        <f>IF(A59="",0,ROUNDUP((H59+N59)/115,0)*5)</f>
        <v/>
      </c>
      <c r="BD59" s="54">
        <f>IF(A59="",0,ROUNDUP((H59+N59)/115,0)*2.5)</f>
        <v/>
      </c>
    </row>
    <row r="60">
      <c r="A60" s="127" t="n"/>
      <c r="B60" s="128" t="n"/>
      <c r="C60" s="128" t="n"/>
      <c r="D60" s="116">
        <f>IF(A60="","",B60*1508)</f>
        <v/>
      </c>
      <c r="E60" s="128" t="n"/>
      <c r="F60" s="128" t="n"/>
      <c r="G60" s="128" t="n"/>
      <c r="H60" s="128" t="n"/>
      <c r="I60" s="116">
        <f>IF(A60="","",MAX((E60/2)-G60,0))</f>
        <v/>
      </c>
      <c r="J60" s="117">
        <f>IF(OR(A60="",E60=0),"",I60/(E60/2))</f>
        <v/>
      </c>
      <c r="K60" s="116">
        <f>IF(A60="","",MAX((F60/2)-H60,0))</f>
        <v/>
      </c>
      <c r="L60" s="117">
        <f>IF(OR(A60="",F60=0),"",K60/(F60/2))</f>
        <v/>
      </c>
      <c r="M60" s="128" t="n"/>
      <c r="N60" s="128" t="n"/>
      <c r="O60" s="116">
        <f>IF(A60="","",MAX((M60/3)-N60,0))</f>
        <v/>
      </c>
      <c r="P60" s="117">
        <f>IF(OR(A60="",M60=0),"",O60/(M60/3))</f>
        <v/>
      </c>
      <c r="Q60" s="116">
        <f>IF(A60="","",C60*1508)</f>
        <v/>
      </c>
      <c r="R60" s="128" t="n"/>
      <c r="S60" s="128" t="n"/>
      <c r="T60" s="117">
        <f>IF(OR(A60="",R60=0),"",MAX(R60-S60,0)/R60)</f>
        <v/>
      </c>
      <c r="U60" s="128" t="n"/>
      <c r="V60" s="128" t="n"/>
      <c r="W60" s="117">
        <f>IF(OR(A60="",U60=0),"",MAX(U60-V60,0)/U60)</f>
        <v/>
      </c>
      <c r="X60" s="128" t="n"/>
      <c r="Y60" s="128" t="n"/>
      <c r="Z60" s="117">
        <f>IF(OR(A60="",X60=0),"",MAX(X60-Y60,0)/X60)</f>
        <v/>
      </c>
      <c r="AA60" s="128" t="n"/>
      <c r="AB60" s="128" t="n"/>
      <c r="AC60" s="117">
        <f>IF(OR(A60="",AA60=0),"",MAX(AA60-AB60,0)/AA60)</f>
        <v/>
      </c>
      <c r="AD60" s="128" t="n"/>
      <c r="AE60" s="128" t="n"/>
      <c r="AF60" s="117">
        <f>IF(OR(A60="",AD60=0),"",MAX(AD60-AE60,0)/AD60)</f>
        <v/>
      </c>
      <c r="AG60" s="54">
        <f>IF(A60="",0,(B60*40)+(C60*40))</f>
        <v/>
      </c>
      <c r="AH60" s="54">
        <f>IF(A60="",0,(B60*100)+(C60*0))</f>
        <v/>
      </c>
      <c r="AI60" s="54">
        <f>IF(A60="",0,(B60*10)+(C60*0))</f>
        <v/>
      </c>
      <c r="AJ60" s="54">
        <f>IF(A60="",0,(B60*50)+(C60*0))</f>
        <v/>
      </c>
      <c r="AK60" s="54">
        <f>IF(A60="",0,(B60*20)+(C60*0))</f>
        <v/>
      </c>
      <c r="AL60" s="54">
        <f>IF(A60="",0,(B60*60)+(C60*0))</f>
        <v/>
      </c>
      <c r="AM60" s="54">
        <f>IF(A60="",0,(B60*4)+(C60*4))</f>
        <v/>
      </c>
      <c r="AN60" s="54">
        <f>IF(A60="",0,(B60*4)+(C60*4))</f>
        <v/>
      </c>
      <c r="AO60" s="54">
        <f>IF(A60="",0,(B60*6)+(C60*0))</f>
        <v/>
      </c>
      <c r="AP60" s="54">
        <f>IF(A60="",0,(B60*4)+(C60*10))</f>
        <v/>
      </c>
      <c r="AQ60" s="54">
        <f>IF(A60="",0,(B60*65)+(C60*80))</f>
        <v/>
      </c>
      <c r="AR60" s="54">
        <f>IF(A60="",0,(B60*0)+(C60*5))</f>
        <v/>
      </c>
      <c r="AS60" s="54">
        <f>IF(A60="",0,(B60*0)+(C60*50))</f>
        <v/>
      </c>
      <c r="AT60" s="54">
        <f>IF(A60="",0,(G60*25.51+N60*30+S60*7.5)/1000)</f>
        <v/>
      </c>
      <c r="AU60" s="54">
        <f>IF(A60="",0,(H60*21.74+V60*7.5)/1000)</f>
        <v/>
      </c>
      <c r="AV60" s="54">
        <f>IF(A60="",0,(G60*0.71)/1000)</f>
        <v/>
      </c>
      <c r="AW60" s="54">
        <f>IF(A60="",0,(AB60*5)/1000)</f>
        <v/>
      </c>
      <c r="AX60" s="54">
        <f>IF(A60="",0,(Y60*7)/1000)</f>
        <v/>
      </c>
      <c r="AY60" s="54">
        <f>IF(A60="",0,(AE60*7)/1000)</f>
        <v/>
      </c>
      <c r="AZ60" s="54">
        <f>IF(A60="",0,ROUNDUP((H60+N60)/115,0)*1.5)</f>
        <v/>
      </c>
      <c r="BA60" s="54">
        <f>IF(A60="",0,ROUNDUP((H60+N60)/115,0)*20)</f>
        <v/>
      </c>
      <c r="BB60" s="54">
        <f>IF(A60="",0,ROUNDUP((H60+N60)/115,0)*80)</f>
        <v/>
      </c>
      <c r="BC60" s="54">
        <f>IF(A60="",0,ROUNDUP((H60+N60)/115,0)*5)</f>
        <v/>
      </c>
      <c r="BD60" s="54">
        <f>IF(A60="",0,ROUNDUP((H60+N60)/115,0)*2.5)</f>
        <v/>
      </c>
    </row>
    <row r="61">
      <c r="A61" s="127" t="n"/>
      <c r="B61" s="128" t="n"/>
      <c r="C61" s="128" t="n"/>
      <c r="D61" s="116">
        <f>IF(A61="","",B61*1508)</f>
        <v/>
      </c>
      <c r="E61" s="128" t="n"/>
      <c r="F61" s="128" t="n"/>
      <c r="G61" s="128" t="n"/>
      <c r="H61" s="128" t="n"/>
      <c r="I61" s="116">
        <f>IF(A61="","",MAX((E61/2)-G61,0))</f>
        <v/>
      </c>
      <c r="J61" s="117">
        <f>IF(OR(A61="",E61=0),"",I61/(E61/2))</f>
        <v/>
      </c>
      <c r="K61" s="116">
        <f>IF(A61="","",MAX((F61/2)-H61,0))</f>
        <v/>
      </c>
      <c r="L61" s="117">
        <f>IF(OR(A61="",F61=0),"",K61/(F61/2))</f>
        <v/>
      </c>
      <c r="M61" s="128" t="n"/>
      <c r="N61" s="128" t="n"/>
      <c r="O61" s="116">
        <f>IF(A61="","",MAX((M61/3)-N61,0))</f>
        <v/>
      </c>
      <c r="P61" s="117">
        <f>IF(OR(A61="",M61=0),"",O61/(M61/3))</f>
        <v/>
      </c>
      <c r="Q61" s="116">
        <f>IF(A61="","",C61*1508)</f>
        <v/>
      </c>
      <c r="R61" s="128" t="n"/>
      <c r="S61" s="128" t="n"/>
      <c r="T61" s="117">
        <f>IF(OR(A61="",R61=0),"",MAX(R61-S61,0)/R61)</f>
        <v/>
      </c>
      <c r="U61" s="128" t="n"/>
      <c r="V61" s="128" t="n"/>
      <c r="W61" s="117">
        <f>IF(OR(A61="",U61=0),"",MAX(U61-V61,0)/U61)</f>
        <v/>
      </c>
      <c r="X61" s="128" t="n"/>
      <c r="Y61" s="128" t="n"/>
      <c r="Z61" s="117">
        <f>IF(OR(A61="",X61=0),"",MAX(X61-Y61,0)/X61)</f>
        <v/>
      </c>
      <c r="AA61" s="128" t="n"/>
      <c r="AB61" s="128" t="n"/>
      <c r="AC61" s="117">
        <f>IF(OR(A61="",AA61=0),"",MAX(AA61-AB61,0)/AA61)</f>
        <v/>
      </c>
      <c r="AD61" s="128" t="n"/>
      <c r="AE61" s="128" t="n"/>
      <c r="AF61" s="117">
        <f>IF(OR(A61="",AD61=0),"",MAX(AD61-AE61,0)/AD61)</f>
        <v/>
      </c>
      <c r="AG61" s="54">
        <f>IF(A61="",0,(B61*40)+(C61*40))</f>
        <v/>
      </c>
      <c r="AH61" s="54">
        <f>IF(A61="",0,(B61*100)+(C61*0))</f>
        <v/>
      </c>
      <c r="AI61" s="54">
        <f>IF(A61="",0,(B61*10)+(C61*0))</f>
        <v/>
      </c>
      <c r="AJ61" s="54">
        <f>IF(A61="",0,(B61*50)+(C61*0))</f>
        <v/>
      </c>
      <c r="AK61" s="54">
        <f>IF(A61="",0,(B61*20)+(C61*0))</f>
        <v/>
      </c>
      <c r="AL61" s="54">
        <f>IF(A61="",0,(B61*60)+(C61*0))</f>
        <v/>
      </c>
      <c r="AM61" s="54">
        <f>IF(A61="",0,(B61*4)+(C61*4))</f>
        <v/>
      </c>
      <c r="AN61" s="54">
        <f>IF(A61="",0,(B61*4)+(C61*4))</f>
        <v/>
      </c>
      <c r="AO61" s="54">
        <f>IF(A61="",0,(B61*6)+(C61*0))</f>
        <v/>
      </c>
      <c r="AP61" s="54">
        <f>IF(A61="",0,(B61*4)+(C61*10))</f>
        <v/>
      </c>
      <c r="AQ61" s="54">
        <f>IF(A61="",0,(B61*65)+(C61*80))</f>
        <v/>
      </c>
      <c r="AR61" s="54">
        <f>IF(A61="",0,(B61*0)+(C61*5))</f>
        <v/>
      </c>
      <c r="AS61" s="54">
        <f>IF(A61="",0,(B61*0)+(C61*50))</f>
        <v/>
      </c>
      <c r="AT61" s="54">
        <f>IF(A61="",0,(G61*25.51+N61*30+S61*7.5)/1000)</f>
        <v/>
      </c>
      <c r="AU61" s="54">
        <f>IF(A61="",0,(H61*21.74+V61*7.5)/1000)</f>
        <v/>
      </c>
      <c r="AV61" s="54">
        <f>IF(A61="",0,(G61*0.71)/1000)</f>
        <v/>
      </c>
      <c r="AW61" s="54">
        <f>IF(A61="",0,(AB61*5)/1000)</f>
        <v/>
      </c>
      <c r="AX61" s="54">
        <f>IF(A61="",0,(Y61*7)/1000)</f>
        <v/>
      </c>
      <c r="AY61" s="54">
        <f>IF(A61="",0,(AE61*7)/1000)</f>
        <v/>
      </c>
      <c r="AZ61" s="54">
        <f>IF(A61="",0,ROUNDUP((H61+N61)/115,0)*1.5)</f>
        <v/>
      </c>
      <c r="BA61" s="54">
        <f>IF(A61="",0,ROUNDUP((H61+N61)/115,0)*20)</f>
        <v/>
      </c>
      <c r="BB61" s="54">
        <f>IF(A61="",0,ROUNDUP((H61+N61)/115,0)*80)</f>
        <v/>
      </c>
      <c r="BC61" s="54">
        <f>IF(A61="",0,ROUNDUP((H61+N61)/115,0)*5)</f>
        <v/>
      </c>
      <c r="BD61" s="54">
        <f>IF(A61="",0,ROUNDUP((H61+N61)/115,0)*2.5)</f>
        <v/>
      </c>
    </row>
    <row r="62">
      <c r="A62" s="127" t="n"/>
      <c r="B62" s="128" t="n"/>
      <c r="C62" s="128" t="n"/>
      <c r="D62" s="116">
        <f>IF(A62="","",B62*1508)</f>
        <v/>
      </c>
      <c r="E62" s="128" t="n"/>
      <c r="F62" s="128" t="n"/>
      <c r="G62" s="128" t="n"/>
      <c r="H62" s="128" t="n"/>
      <c r="I62" s="116">
        <f>IF(A62="","",MAX((E62/2)-G62,0))</f>
        <v/>
      </c>
      <c r="J62" s="117">
        <f>IF(OR(A62="",E62=0),"",I62/(E62/2))</f>
        <v/>
      </c>
      <c r="K62" s="116">
        <f>IF(A62="","",MAX((F62/2)-H62,0))</f>
        <v/>
      </c>
      <c r="L62" s="117">
        <f>IF(OR(A62="",F62=0),"",K62/(F62/2))</f>
        <v/>
      </c>
      <c r="M62" s="128" t="n"/>
      <c r="N62" s="128" t="n"/>
      <c r="O62" s="116">
        <f>IF(A62="","",MAX((M62/3)-N62,0))</f>
        <v/>
      </c>
      <c r="P62" s="117">
        <f>IF(OR(A62="",M62=0),"",O62/(M62/3))</f>
        <v/>
      </c>
      <c r="Q62" s="116">
        <f>IF(A62="","",C62*1508)</f>
        <v/>
      </c>
      <c r="R62" s="128" t="n"/>
      <c r="S62" s="128" t="n"/>
      <c r="T62" s="117">
        <f>IF(OR(A62="",R62=0),"",MAX(R62-S62,0)/R62)</f>
        <v/>
      </c>
      <c r="U62" s="128" t="n"/>
      <c r="V62" s="128" t="n"/>
      <c r="W62" s="117">
        <f>IF(OR(A62="",U62=0),"",MAX(U62-V62,0)/U62)</f>
        <v/>
      </c>
      <c r="X62" s="128" t="n"/>
      <c r="Y62" s="128" t="n"/>
      <c r="Z62" s="117">
        <f>IF(OR(A62="",X62=0),"",MAX(X62-Y62,0)/X62)</f>
        <v/>
      </c>
      <c r="AA62" s="128" t="n"/>
      <c r="AB62" s="128" t="n"/>
      <c r="AC62" s="117">
        <f>IF(OR(A62="",AA62=0),"",MAX(AA62-AB62,0)/AA62)</f>
        <v/>
      </c>
      <c r="AD62" s="128" t="n"/>
      <c r="AE62" s="128" t="n"/>
      <c r="AF62" s="117">
        <f>IF(OR(A62="",AD62=0),"",MAX(AD62-AE62,0)/AD62)</f>
        <v/>
      </c>
      <c r="AG62" s="54">
        <f>IF(A62="",0,(B62*40)+(C62*40))</f>
        <v/>
      </c>
      <c r="AH62" s="54">
        <f>IF(A62="",0,(B62*100)+(C62*0))</f>
        <v/>
      </c>
      <c r="AI62" s="54">
        <f>IF(A62="",0,(B62*10)+(C62*0))</f>
        <v/>
      </c>
      <c r="AJ62" s="54">
        <f>IF(A62="",0,(B62*50)+(C62*0))</f>
        <v/>
      </c>
      <c r="AK62" s="54">
        <f>IF(A62="",0,(B62*20)+(C62*0))</f>
        <v/>
      </c>
      <c r="AL62" s="54">
        <f>IF(A62="",0,(B62*60)+(C62*0))</f>
        <v/>
      </c>
      <c r="AM62" s="54">
        <f>IF(A62="",0,(B62*4)+(C62*4))</f>
        <v/>
      </c>
      <c r="AN62" s="54">
        <f>IF(A62="",0,(B62*4)+(C62*4))</f>
        <v/>
      </c>
      <c r="AO62" s="54">
        <f>IF(A62="",0,(B62*6)+(C62*0))</f>
        <v/>
      </c>
      <c r="AP62" s="54">
        <f>IF(A62="",0,(B62*4)+(C62*10))</f>
        <v/>
      </c>
      <c r="AQ62" s="54">
        <f>IF(A62="",0,(B62*65)+(C62*80))</f>
        <v/>
      </c>
      <c r="AR62" s="54">
        <f>IF(A62="",0,(B62*0)+(C62*5))</f>
        <v/>
      </c>
      <c r="AS62" s="54">
        <f>IF(A62="",0,(B62*0)+(C62*50))</f>
        <v/>
      </c>
      <c r="AT62" s="54">
        <f>IF(A62="",0,(G62*25.51+N62*30+S62*7.5)/1000)</f>
        <v/>
      </c>
      <c r="AU62" s="54">
        <f>IF(A62="",0,(H62*21.74+V62*7.5)/1000)</f>
        <v/>
      </c>
      <c r="AV62" s="54">
        <f>IF(A62="",0,(G62*0.71)/1000)</f>
        <v/>
      </c>
      <c r="AW62" s="54">
        <f>IF(A62="",0,(AB62*5)/1000)</f>
        <v/>
      </c>
      <c r="AX62" s="54">
        <f>IF(A62="",0,(Y62*7)/1000)</f>
        <v/>
      </c>
      <c r="AY62" s="54">
        <f>IF(A62="",0,(AE62*7)/1000)</f>
        <v/>
      </c>
      <c r="AZ62" s="54">
        <f>IF(A62="",0,ROUNDUP((H62+N62)/115,0)*1.5)</f>
        <v/>
      </c>
      <c r="BA62" s="54">
        <f>IF(A62="",0,ROUNDUP((H62+N62)/115,0)*20)</f>
        <v/>
      </c>
      <c r="BB62" s="54">
        <f>IF(A62="",0,ROUNDUP((H62+N62)/115,0)*80)</f>
        <v/>
      </c>
      <c r="BC62" s="54">
        <f>IF(A62="",0,ROUNDUP((H62+N62)/115,0)*5)</f>
        <v/>
      </c>
      <c r="BD62" s="54">
        <f>IF(A62="",0,ROUNDUP((H62+N62)/115,0)*2.5)</f>
        <v/>
      </c>
    </row>
    <row r="63">
      <c r="A63" s="127" t="n"/>
      <c r="B63" s="128" t="n"/>
      <c r="C63" s="128" t="n"/>
      <c r="D63" s="116">
        <f>IF(A63="","",B63*1508)</f>
        <v/>
      </c>
      <c r="E63" s="128" t="n"/>
      <c r="F63" s="128" t="n"/>
      <c r="G63" s="128" t="n"/>
      <c r="H63" s="128" t="n"/>
      <c r="I63" s="116">
        <f>IF(A63="","",MAX((E63/2)-G63,0))</f>
        <v/>
      </c>
      <c r="J63" s="117">
        <f>IF(OR(A63="",E63=0),"",I63/(E63/2))</f>
        <v/>
      </c>
      <c r="K63" s="116">
        <f>IF(A63="","",MAX((F63/2)-H63,0))</f>
        <v/>
      </c>
      <c r="L63" s="117">
        <f>IF(OR(A63="",F63=0),"",K63/(F63/2))</f>
        <v/>
      </c>
      <c r="M63" s="128" t="n"/>
      <c r="N63" s="128" t="n"/>
      <c r="O63" s="116">
        <f>IF(A63="","",MAX((M63/3)-N63,0))</f>
        <v/>
      </c>
      <c r="P63" s="117">
        <f>IF(OR(A63="",M63=0),"",O63/(M63/3))</f>
        <v/>
      </c>
      <c r="Q63" s="116">
        <f>IF(A63="","",C63*1508)</f>
        <v/>
      </c>
      <c r="R63" s="128" t="n"/>
      <c r="S63" s="128" t="n"/>
      <c r="T63" s="117">
        <f>IF(OR(A63="",R63=0),"",MAX(R63-S63,0)/R63)</f>
        <v/>
      </c>
      <c r="U63" s="128" t="n"/>
      <c r="V63" s="128" t="n"/>
      <c r="W63" s="117">
        <f>IF(OR(A63="",U63=0),"",MAX(U63-V63,0)/U63)</f>
        <v/>
      </c>
      <c r="X63" s="128" t="n"/>
      <c r="Y63" s="128" t="n"/>
      <c r="Z63" s="117">
        <f>IF(OR(A63="",X63=0),"",MAX(X63-Y63,0)/X63)</f>
        <v/>
      </c>
      <c r="AA63" s="128" t="n"/>
      <c r="AB63" s="128" t="n"/>
      <c r="AC63" s="117">
        <f>IF(OR(A63="",AA63=0),"",MAX(AA63-AB63,0)/AA63)</f>
        <v/>
      </c>
      <c r="AD63" s="128" t="n"/>
      <c r="AE63" s="128" t="n"/>
      <c r="AF63" s="117">
        <f>IF(OR(A63="",AD63=0),"",MAX(AD63-AE63,0)/AD63)</f>
        <v/>
      </c>
      <c r="AG63" s="54">
        <f>IF(A63="",0,(B63*40)+(C63*40))</f>
        <v/>
      </c>
      <c r="AH63" s="54">
        <f>IF(A63="",0,(B63*100)+(C63*0))</f>
        <v/>
      </c>
      <c r="AI63" s="54">
        <f>IF(A63="",0,(B63*10)+(C63*0))</f>
        <v/>
      </c>
      <c r="AJ63" s="54">
        <f>IF(A63="",0,(B63*50)+(C63*0))</f>
        <v/>
      </c>
      <c r="AK63" s="54">
        <f>IF(A63="",0,(B63*20)+(C63*0))</f>
        <v/>
      </c>
      <c r="AL63" s="54">
        <f>IF(A63="",0,(B63*60)+(C63*0))</f>
        <v/>
      </c>
      <c r="AM63" s="54">
        <f>IF(A63="",0,(B63*4)+(C63*4))</f>
        <v/>
      </c>
      <c r="AN63" s="54">
        <f>IF(A63="",0,(B63*4)+(C63*4))</f>
        <v/>
      </c>
      <c r="AO63" s="54">
        <f>IF(A63="",0,(B63*6)+(C63*0))</f>
        <v/>
      </c>
      <c r="AP63" s="54">
        <f>IF(A63="",0,(B63*4)+(C63*10))</f>
        <v/>
      </c>
      <c r="AQ63" s="54">
        <f>IF(A63="",0,(B63*65)+(C63*80))</f>
        <v/>
      </c>
      <c r="AR63" s="54">
        <f>IF(A63="",0,(B63*0)+(C63*5))</f>
        <v/>
      </c>
      <c r="AS63" s="54">
        <f>IF(A63="",0,(B63*0)+(C63*50))</f>
        <v/>
      </c>
      <c r="AT63" s="54">
        <f>IF(A63="",0,(G63*25.51+N63*30+S63*7.5)/1000)</f>
        <v/>
      </c>
      <c r="AU63" s="54">
        <f>IF(A63="",0,(H63*21.74+V63*7.5)/1000)</f>
        <v/>
      </c>
      <c r="AV63" s="54">
        <f>IF(A63="",0,(G63*0.71)/1000)</f>
        <v/>
      </c>
      <c r="AW63" s="54">
        <f>IF(A63="",0,(AB63*5)/1000)</f>
        <v/>
      </c>
      <c r="AX63" s="54">
        <f>IF(A63="",0,(Y63*7)/1000)</f>
        <v/>
      </c>
      <c r="AY63" s="54">
        <f>IF(A63="",0,(AE63*7)/1000)</f>
        <v/>
      </c>
      <c r="AZ63" s="54">
        <f>IF(A63="",0,ROUNDUP((H63+N63)/115,0)*1.5)</f>
        <v/>
      </c>
      <c r="BA63" s="54">
        <f>IF(A63="",0,ROUNDUP((H63+N63)/115,0)*20)</f>
        <v/>
      </c>
      <c r="BB63" s="54">
        <f>IF(A63="",0,ROUNDUP((H63+N63)/115,0)*80)</f>
        <v/>
      </c>
      <c r="BC63" s="54">
        <f>IF(A63="",0,ROUNDUP((H63+N63)/115,0)*5)</f>
        <v/>
      </c>
      <c r="BD63" s="54">
        <f>IF(A63="",0,ROUNDUP((H63+N63)/115,0)*2.5)</f>
        <v/>
      </c>
    </row>
    <row r="64">
      <c r="A64" s="127" t="n"/>
      <c r="B64" s="128" t="n"/>
      <c r="C64" s="128" t="n"/>
      <c r="D64" s="116">
        <f>IF(A64="","",B64*1508)</f>
        <v/>
      </c>
      <c r="E64" s="128" t="n"/>
      <c r="F64" s="128" t="n"/>
      <c r="G64" s="128" t="n"/>
      <c r="H64" s="128" t="n"/>
      <c r="I64" s="116">
        <f>IF(A64="","",MAX((E64/2)-G64,0))</f>
        <v/>
      </c>
      <c r="J64" s="117">
        <f>IF(OR(A64="",E64=0),"",I64/(E64/2))</f>
        <v/>
      </c>
      <c r="K64" s="116">
        <f>IF(A64="","",MAX((F64/2)-H64,0))</f>
        <v/>
      </c>
      <c r="L64" s="117">
        <f>IF(OR(A64="",F64=0),"",K64/(F64/2))</f>
        <v/>
      </c>
      <c r="M64" s="128" t="n"/>
      <c r="N64" s="128" t="n"/>
      <c r="O64" s="116">
        <f>IF(A64="","",MAX((M64/3)-N64,0))</f>
        <v/>
      </c>
      <c r="P64" s="117">
        <f>IF(OR(A64="",M64=0),"",O64/(M64/3))</f>
        <v/>
      </c>
      <c r="Q64" s="116">
        <f>IF(A64="","",C64*1508)</f>
        <v/>
      </c>
      <c r="R64" s="128" t="n"/>
      <c r="S64" s="128" t="n"/>
      <c r="T64" s="117">
        <f>IF(OR(A64="",R64=0),"",MAX(R64-S64,0)/R64)</f>
        <v/>
      </c>
      <c r="U64" s="128" t="n"/>
      <c r="V64" s="128" t="n"/>
      <c r="W64" s="117">
        <f>IF(OR(A64="",U64=0),"",MAX(U64-V64,0)/U64)</f>
        <v/>
      </c>
      <c r="X64" s="128" t="n"/>
      <c r="Y64" s="128" t="n"/>
      <c r="Z64" s="117">
        <f>IF(OR(A64="",X64=0),"",MAX(X64-Y64,0)/X64)</f>
        <v/>
      </c>
      <c r="AA64" s="128" t="n"/>
      <c r="AB64" s="128" t="n"/>
      <c r="AC64" s="117">
        <f>IF(OR(A64="",AA64=0),"",MAX(AA64-AB64,0)/AA64)</f>
        <v/>
      </c>
      <c r="AD64" s="128" t="n"/>
      <c r="AE64" s="128" t="n"/>
      <c r="AF64" s="117">
        <f>IF(OR(A64="",AD64=0),"",MAX(AD64-AE64,0)/AD64)</f>
        <v/>
      </c>
      <c r="AG64" s="54">
        <f>IF(A64="",0,(B64*40)+(C64*40))</f>
        <v/>
      </c>
      <c r="AH64" s="54">
        <f>IF(A64="",0,(B64*100)+(C64*0))</f>
        <v/>
      </c>
      <c r="AI64" s="54">
        <f>IF(A64="",0,(B64*10)+(C64*0))</f>
        <v/>
      </c>
      <c r="AJ64" s="54">
        <f>IF(A64="",0,(B64*50)+(C64*0))</f>
        <v/>
      </c>
      <c r="AK64" s="54">
        <f>IF(A64="",0,(B64*20)+(C64*0))</f>
        <v/>
      </c>
      <c r="AL64" s="54">
        <f>IF(A64="",0,(B64*60)+(C64*0))</f>
        <v/>
      </c>
      <c r="AM64" s="54">
        <f>IF(A64="",0,(B64*4)+(C64*4))</f>
        <v/>
      </c>
      <c r="AN64" s="54">
        <f>IF(A64="",0,(B64*4)+(C64*4))</f>
        <v/>
      </c>
      <c r="AO64" s="54">
        <f>IF(A64="",0,(B64*6)+(C64*0))</f>
        <v/>
      </c>
      <c r="AP64" s="54">
        <f>IF(A64="",0,(B64*4)+(C64*10))</f>
        <v/>
      </c>
      <c r="AQ64" s="54">
        <f>IF(A64="",0,(B64*65)+(C64*80))</f>
        <v/>
      </c>
      <c r="AR64" s="54">
        <f>IF(A64="",0,(B64*0)+(C64*5))</f>
        <v/>
      </c>
      <c r="AS64" s="54">
        <f>IF(A64="",0,(B64*0)+(C64*50))</f>
        <v/>
      </c>
      <c r="AT64" s="54">
        <f>IF(A64="",0,(G64*25.51+N64*30+S64*7.5)/1000)</f>
        <v/>
      </c>
      <c r="AU64" s="54">
        <f>IF(A64="",0,(H64*21.74+V64*7.5)/1000)</f>
        <v/>
      </c>
      <c r="AV64" s="54">
        <f>IF(A64="",0,(G64*0.71)/1000)</f>
        <v/>
      </c>
      <c r="AW64" s="54">
        <f>IF(A64="",0,(AB64*5)/1000)</f>
        <v/>
      </c>
      <c r="AX64" s="54">
        <f>IF(A64="",0,(Y64*7)/1000)</f>
        <v/>
      </c>
      <c r="AY64" s="54">
        <f>IF(A64="",0,(AE64*7)/1000)</f>
        <v/>
      </c>
      <c r="AZ64" s="54">
        <f>IF(A64="",0,ROUNDUP((H64+N64)/115,0)*1.5)</f>
        <v/>
      </c>
      <c r="BA64" s="54">
        <f>IF(A64="",0,ROUNDUP((H64+N64)/115,0)*20)</f>
        <v/>
      </c>
      <c r="BB64" s="54">
        <f>IF(A64="",0,ROUNDUP((H64+N64)/115,0)*80)</f>
        <v/>
      </c>
      <c r="BC64" s="54">
        <f>IF(A64="",0,ROUNDUP((H64+N64)/115,0)*5)</f>
        <v/>
      </c>
      <c r="BD64" s="54">
        <f>IF(A64="",0,ROUNDUP((H64+N64)/115,0)*2.5)</f>
        <v/>
      </c>
    </row>
    <row r="65">
      <c r="A65" s="127" t="n"/>
      <c r="B65" s="128" t="n"/>
      <c r="C65" s="128" t="n"/>
      <c r="D65" s="116">
        <f>IF(A65="","",B65*1508)</f>
        <v/>
      </c>
      <c r="E65" s="128" t="n"/>
      <c r="F65" s="128" t="n"/>
      <c r="G65" s="128" t="n"/>
      <c r="H65" s="128" t="n"/>
      <c r="I65" s="116">
        <f>IF(A65="","",MAX((E65/2)-G65,0))</f>
        <v/>
      </c>
      <c r="J65" s="117">
        <f>IF(OR(A65="",E65=0),"",I65/(E65/2))</f>
        <v/>
      </c>
      <c r="K65" s="116">
        <f>IF(A65="","",MAX((F65/2)-H65,0))</f>
        <v/>
      </c>
      <c r="L65" s="117">
        <f>IF(OR(A65="",F65=0),"",K65/(F65/2))</f>
        <v/>
      </c>
      <c r="M65" s="128" t="n"/>
      <c r="N65" s="128" t="n"/>
      <c r="O65" s="116">
        <f>IF(A65="","",MAX((M65/3)-N65,0))</f>
        <v/>
      </c>
      <c r="P65" s="117">
        <f>IF(OR(A65="",M65=0),"",O65/(M65/3))</f>
        <v/>
      </c>
      <c r="Q65" s="116">
        <f>IF(A65="","",C65*1508)</f>
        <v/>
      </c>
      <c r="R65" s="128" t="n"/>
      <c r="S65" s="128" t="n"/>
      <c r="T65" s="117">
        <f>IF(OR(A65="",R65=0),"",MAX(R65-S65,0)/R65)</f>
        <v/>
      </c>
      <c r="U65" s="128" t="n"/>
      <c r="V65" s="128" t="n"/>
      <c r="W65" s="117">
        <f>IF(OR(A65="",U65=0),"",MAX(U65-V65,0)/U65)</f>
        <v/>
      </c>
      <c r="X65" s="128" t="n"/>
      <c r="Y65" s="128" t="n"/>
      <c r="Z65" s="117">
        <f>IF(OR(A65="",X65=0),"",MAX(X65-Y65,0)/X65)</f>
        <v/>
      </c>
      <c r="AA65" s="128" t="n"/>
      <c r="AB65" s="128" t="n"/>
      <c r="AC65" s="117">
        <f>IF(OR(A65="",AA65=0),"",MAX(AA65-AB65,0)/AA65)</f>
        <v/>
      </c>
      <c r="AD65" s="128" t="n"/>
      <c r="AE65" s="128" t="n"/>
      <c r="AF65" s="117">
        <f>IF(OR(A65="",AD65=0),"",MAX(AD65-AE65,0)/AD65)</f>
        <v/>
      </c>
      <c r="AG65" s="54">
        <f>IF(A65="",0,(B65*40)+(C65*40))</f>
        <v/>
      </c>
      <c r="AH65" s="54">
        <f>IF(A65="",0,(B65*100)+(C65*0))</f>
        <v/>
      </c>
      <c r="AI65" s="54">
        <f>IF(A65="",0,(B65*10)+(C65*0))</f>
        <v/>
      </c>
      <c r="AJ65" s="54">
        <f>IF(A65="",0,(B65*50)+(C65*0))</f>
        <v/>
      </c>
      <c r="AK65" s="54">
        <f>IF(A65="",0,(B65*20)+(C65*0))</f>
        <v/>
      </c>
      <c r="AL65" s="54">
        <f>IF(A65="",0,(B65*60)+(C65*0))</f>
        <v/>
      </c>
      <c r="AM65" s="54">
        <f>IF(A65="",0,(B65*4)+(C65*4))</f>
        <v/>
      </c>
      <c r="AN65" s="54">
        <f>IF(A65="",0,(B65*4)+(C65*4))</f>
        <v/>
      </c>
      <c r="AO65" s="54">
        <f>IF(A65="",0,(B65*6)+(C65*0))</f>
        <v/>
      </c>
      <c r="AP65" s="54">
        <f>IF(A65="",0,(B65*4)+(C65*10))</f>
        <v/>
      </c>
      <c r="AQ65" s="54">
        <f>IF(A65="",0,(B65*65)+(C65*80))</f>
        <v/>
      </c>
      <c r="AR65" s="54">
        <f>IF(A65="",0,(B65*0)+(C65*5))</f>
        <v/>
      </c>
      <c r="AS65" s="54">
        <f>IF(A65="",0,(B65*0)+(C65*50))</f>
        <v/>
      </c>
      <c r="AT65" s="54">
        <f>IF(A65="",0,(G65*25.51+N65*30+S65*7.5)/1000)</f>
        <v/>
      </c>
      <c r="AU65" s="54">
        <f>IF(A65="",0,(H65*21.74+V65*7.5)/1000)</f>
        <v/>
      </c>
      <c r="AV65" s="54">
        <f>IF(A65="",0,(G65*0.71)/1000)</f>
        <v/>
      </c>
      <c r="AW65" s="54">
        <f>IF(A65="",0,(AB65*5)/1000)</f>
        <v/>
      </c>
      <c r="AX65" s="54">
        <f>IF(A65="",0,(Y65*7)/1000)</f>
        <v/>
      </c>
      <c r="AY65" s="54">
        <f>IF(A65="",0,(AE65*7)/1000)</f>
        <v/>
      </c>
      <c r="AZ65" s="54">
        <f>IF(A65="",0,ROUNDUP((H65+N65)/115,0)*1.5)</f>
        <v/>
      </c>
      <c r="BA65" s="54">
        <f>IF(A65="",0,ROUNDUP((H65+N65)/115,0)*20)</f>
        <v/>
      </c>
      <c r="BB65" s="54">
        <f>IF(A65="",0,ROUNDUP((H65+N65)/115,0)*80)</f>
        <v/>
      </c>
      <c r="BC65" s="54">
        <f>IF(A65="",0,ROUNDUP((H65+N65)/115,0)*5)</f>
        <v/>
      </c>
      <c r="BD65" s="54">
        <f>IF(A65="",0,ROUNDUP((H65+N65)/115,0)*2.5)</f>
        <v/>
      </c>
    </row>
    <row r="66">
      <c r="A66" s="127" t="n"/>
      <c r="B66" s="128" t="n"/>
      <c r="C66" s="128" t="n"/>
      <c r="D66" s="116">
        <f>IF(A66="","",B66*1508)</f>
        <v/>
      </c>
      <c r="E66" s="128" t="n"/>
      <c r="F66" s="128" t="n"/>
      <c r="G66" s="128" t="n"/>
      <c r="H66" s="128" t="n"/>
      <c r="I66" s="116">
        <f>IF(A66="","",MAX((E66/2)-G66,0))</f>
        <v/>
      </c>
      <c r="J66" s="117">
        <f>IF(OR(A66="",E66=0),"",I66/(E66/2))</f>
        <v/>
      </c>
      <c r="K66" s="116">
        <f>IF(A66="","",MAX((F66/2)-H66,0))</f>
        <v/>
      </c>
      <c r="L66" s="117">
        <f>IF(OR(A66="",F66=0),"",K66/(F66/2))</f>
        <v/>
      </c>
      <c r="M66" s="128" t="n"/>
      <c r="N66" s="128" t="n"/>
      <c r="O66" s="116">
        <f>IF(A66="","",MAX((M66/3)-N66,0))</f>
        <v/>
      </c>
      <c r="P66" s="117">
        <f>IF(OR(A66="",M66=0),"",O66/(M66/3))</f>
        <v/>
      </c>
      <c r="Q66" s="116">
        <f>IF(A66="","",C66*1508)</f>
        <v/>
      </c>
      <c r="R66" s="128" t="n"/>
      <c r="S66" s="128" t="n"/>
      <c r="T66" s="117">
        <f>IF(OR(A66="",R66=0),"",MAX(R66-S66,0)/R66)</f>
        <v/>
      </c>
      <c r="U66" s="128" t="n"/>
      <c r="V66" s="128" t="n"/>
      <c r="W66" s="117">
        <f>IF(OR(A66="",U66=0),"",MAX(U66-V66,0)/U66)</f>
        <v/>
      </c>
      <c r="X66" s="128" t="n"/>
      <c r="Y66" s="128" t="n"/>
      <c r="Z66" s="117">
        <f>IF(OR(A66="",X66=0),"",MAX(X66-Y66,0)/X66)</f>
        <v/>
      </c>
      <c r="AA66" s="128" t="n"/>
      <c r="AB66" s="128" t="n"/>
      <c r="AC66" s="117">
        <f>IF(OR(A66="",AA66=0),"",MAX(AA66-AB66,0)/AA66)</f>
        <v/>
      </c>
      <c r="AD66" s="128" t="n"/>
      <c r="AE66" s="128" t="n"/>
      <c r="AF66" s="117">
        <f>IF(OR(A66="",AD66=0),"",MAX(AD66-AE66,0)/AD66)</f>
        <v/>
      </c>
      <c r="AG66" s="54">
        <f>IF(A66="",0,(B66*40)+(C66*40))</f>
        <v/>
      </c>
      <c r="AH66" s="54">
        <f>IF(A66="",0,(B66*100)+(C66*0))</f>
        <v/>
      </c>
      <c r="AI66" s="54">
        <f>IF(A66="",0,(B66*10)+(C66*0))</f>
        <v/>
      </c>
      <c r="AJ66" s="54">
        <f>IF(A66="",0,(B66*50)+(C66*0))</f>
        <v/>
      </c>
      <c r="AK66" s="54">
        <f>IF(A66="",0,(B66*20)+(C66*0))</f>
        <v/>
      </c>
      <c r="AL66" s="54">
        <f>IF(A66="",0,(B66*60)+(C66*0))</f>
        <v/>
      </c>
      <c r="AM66" s="54">
        <f>IF(A66="",0,(B66*4)+(C66*4))</f>
        <v/>
      </c>
      <c r="AN66" s="54">
        <f>IF(A66="",0,(B66*4)+(C66*4))</f>
        <v/>
      </c>
      <c r="AO66" s="54">
        <f>IF(A66="",0,(B66*6)+(C66*0))</f>
        <v/>
      </c>
      <c r="AP66" s="54">
        <f>IF(A66="",0,(B66*4)+(C66*10))</f>
        <v/>
      </c>
      <c r="AQ66" s="54">
        <f>IF(A66="",0,(B66*65)+(C66*80))</f>
        <v/>
      </c>
      <c r="AR66" s="54">
        <f>IF(A66="",0,(B66*0)+(C66*5))</f>
        <v/>
      </c>
      <c r="AS66" s="54">
        <f>IF(A66="",0,(B66*0)+(C66*50))</f>
        <v/>
      </c>
      <c r="AT66" s="54">
        <f>IF(A66="",0,(G66*25.51+N66*30+S66*7.5)/1000)</f>
        <v/>
      </c>
      <c r="AU66" s="54">
        <f>IF(A66="",0,(H66*21.74+V66*7.5)/1000)</f>
        <v/>
      </c>
      <c r="AV66" s="54">
        <f>IF(A66="",0,(G66*0.71)/1000)</f>
        <v/>
      </c>
      <c r="AW66" s="54">
        <f>IF(A66="",0,(AB66*5)/1000)</f>
        <v/>
      </c>
      <c r="AX66" s="54">
        <f>IF(A66="",0,(Y66*7)/1000)</f>
        <v/>
      </c>
      <c r="AY66" s="54">
        <f>IF(A66="",0,(AE66*7)/1000)</f>
        <v/>
      </c>
      <c r="AZ66" s="54">
        <f>IF(A66="",0,ROUNDUP((H66+N66)/115,0)*1.5)</f>
        <v/>
      </c>
      <c r="BA66" s="54">
        <f>IF(A66="",0,ROUNDUP((H66+N66)/115,0)*20)</f>
        <v/>
      </c>
      <c r="BB66" s="54">
        <f>IF(A66="",0,ROUNDUP((H66+N66)/115,0)*80)</f>
        <v/>
      </c>
      <c r="BC66" s="54">
        <f>IF(A66="",0,ROUNDUP((H66+N66)/115,0)*5)</f>
        <v/>
      </c>
      <c r="BD66" s="54">
        <f>IF(A66="",0,ROUNDUP((H66+N66)/115,0)*2.5)</f>
        <v/>
      </c>
    </row>
    <row r="67">
      <c r="A67" s="127" t="n"/>
      <c r="B67" s="128" t="n"/>
      <c r="C67" s="128" t="n"/>
      <c r="D67" s="116">
        <f>IF(A67="","",B67*1508)</f>
        <v/>
      </c>
      <c r="E67" s="128" t="n"/>
      <c r="F67" s="128" t="n"/>
      <c r="G67" s="128" t="n"/>
      <c r="H67" s="128" t="n"/>
      <c r="I67" s="116">
        <f>IF(A67="","",MAX((E67/2)-G67,0))</f>
        <v/>
      </c>
      <c r="J67" s="117">
        <f>IF(OR(A67="",E67=0),"",I67/(E67/2))</f>
        <v/>
      </c>
      <c r="K67" s="116">
        <f>IF(A67="","",MAX((F67/2)-H67,0))</f>
        <v/>
      </c>
      <c r="L67" s="117">
        <f>IF(OR(A67="",F67=0),"",K67/(F67/2))</f>
        <v/>
      </c>
      <c r="M67" s="128" t="n"/>
      <c r="N67" s="128" t="n"/>
      <c r="O67" s="116">
        <f>IF(A67="","",MAX((M67/3)-N67,0))</f>
        <v/>
      </c>
      <c r="P67" s="117">
        <f>IF(OR(A67="",M67=0),"",O67/(M67/3))</f>
        <v/>
      </c>
      <c r="Q67" s="116">
        <f>IF(A67="","",C67*1508)</f>
        <v/>
      </c>
      <c r="R67" s="128" t="n"/>
      <c r="S67" s="128" t="n"/>
      <c r="T67" s="117">
        <f>IF(OR(A67="",R67=0),"",MAX(R67-S67,0)/R67)</f>
        <v/>
      </c>
      <c r="U67" s="128" t="n"/>
      <c r="V67" s="128" t="n"/>
      <c r="W67" s="117">
        <f>IF(OR(A67="",U67=0),"",MAX(U67-V67,0)/U67)</f>
        <v/>
      </c>
      <c r="X67" s="128" t="n"/>
      <c r="Y67" s="128" t="n"/>
      <c r="Z67" s="117">
        <f>IF(OR(A67="",X67=0),"",MAX(X67-Y67,0)/X67)</f>
        <v/>
      </c>
      <c r="AA67" s="128" t="n"/>
      <c r="AB67" s="128" t="n"/>
      <c r="AC67" s="117">
        <f>IF(OR(A67="",AA67=0),"",MAX(AA67-AB67,0)/AA67)</f>
        <v/>
      </c>
      <c r="AD67" s="128" t="n"/>
      <c r="AE67" s="128" t="n"/>
      <c r="AF67" s="117">
        <f>IF(OR(A67="",AD67=0),"",MAX(AD67-AE67,0)/AD67)</f>
        <v/>
      </c>
      <c r="AG67" s="54">
        <f>IF(A67="",0,(B67*40)+(C67*40))</f>
        <v/>
      </c>
      <c r="AH67" s="54">
        <f>IF(A67="",0,(B67*100)+(C67*0))</f>
        <v/>
      </c>
      <c r="AI67" s="54">
        <f>IF(A67="",0,(B67*10)+(C67*0))</f>
        <v/>
      </c>
      <c r="AJ67" s="54">
        <f>IF(A67="",0,(B67*50)+(C67*0))</f>
        <v/>
      </c>
      <c r="AK67" s="54">
        <f>IF(A67="",0,(B67*20)+(C67*0))</f>
        <v/>
      </c>
      <c r="AL67" s="54">
        <f>IF(A67="",0,(B67*60)+(C67*0))</f>
        <v/>
      </c>
      <c r="AM67" s="54">
        <f>IF(A67="",0,(B67*4)+(C67*4))</f>
        <v/>
      </c>
      <c r="AN67" s="54">
        <f>IF(A67="",0,(B67*4)+(C67*4))</f>
        <v/>
      </c>
      <c r="AO67" s="54">
        <f>IF(A67="",0,(B67*6)+(C67*0))</f>
        <v/>
      </c>
      <c r="AP67" s="54">
        <f>IF(A67="",0,(B67*4)+(C67*10))</f>
        <v/>
      </c>
      <c r="AQ67" s="54">
        <f>IF(A67="",0,(B67*65)+(C67*80))</f>
        <v/>
      </c>
      <c r="AR67" s="54">
        <f>IF(A67="",0,(B67*0)+(C67*5))</f>
        <v/>
      </c>
      <c r="AS67" s="54">
        <f>IF(A67="",0,(B67*0)+(C67*50))</f>
        <v/>
      </c>
      <c r="AT67" s="54">
        <f>IF(A67="",0,(G67*25.51+N67*30+S67*7.5)/1000)</f>
        <v/>
      </c>
      <c r="AU67" s="54">
        <f>IF(A67="",0,(H67*21.74+V67*7.5)/1000)</f>
        <v/>
      </c>
      <c r="AV67" s="54">
        <f>IF(A67="",0,(G67*0.71)/1000)</f>
        <v/>
      </c>
      <c r="AW67" s="54">
        <f>IF(A67="",0,(AB67*5)/1000)</f>
        <v/>
      </c>
      <c r="AX67" s="54">
        <f>IF(A67="",0,(Y67*7)/1000)</f>
        <v/>
      </c>
      <c r="AY67" s="54">
        <f>IF(A67="",0,(AE67*7)/1000)</f>
        <v/>
      </c>
      <c r="AZ67" s="54">
        <f>IF(A67="",0,ROUNDUP((H67+N67)/115,0)*1.5)</f>
        <v/>
      </c>
      <c r="BA67" s="54">
        <f>IF(A67="",0,ROUNDUP((H67+N67)/115,0)*20)</f>
        <v/>
      </c>
      <c r="BB67" s="54">
        <f>IF(A67="",0,ROUNDUP((H67+N67)/115,0)*80)</f>
        <v/>
      </c>
      <c r="BC67" s="54">
        <f>IF(A67="",0,ROUNDUP((H67+N67)/115,0)*5)</f>
        <v/>
      </c>
      <c r="BD67" s="54">
        <f>IF(A67="",0,ROUNDUP((H67+N67)/115,0)*2.5)</f>
        <v/>
      </c>
    </row>
    <row r="68">
      <c r="A68" s="127" t="n"/>
      <c r="B68" s="128" t="n"/>
      <c r="C68" s="128" t="n"/>
      <c r="D68" s="116">
        <f>IF(A68="","",B68*1508)</f>
        <v/>
      </c>
      <c r="E68" s="128" t="n"/>
      <c r="F68" s="128" t="n"/>
      <c r="G68" s="128" t="n"/>
      <c r="H68" s="128" t="n"/>
      <c r="I68" s="116">
        <f>IF(A68="","",MAX((E68/2)-G68,0))</f>
        <v/>
      </c>
      <c r="J68" s="117">
        <f>IF(OR(A68="",E68=0),"",I68/(E68/2))</f>
        <v/>
      </c>
      <c r="K68" s="116">
        <f>IF(A68="","",MAX((F68/2)-H68,0))</f>
        <v/>
      </c>
      <c r="L68" s="117">
        <f>IF(OR(A68="",F68=0),"",K68/(F68/2))</f>
        <v/>
      </c>
      <c r="M68" s="128" t="n"/>
      <c r="N68" s="128" t="n"/>
      <c r="O68" s="116">
        <f>IF(A68="","",MAX((M68/3)-N68,0))</f>
        <v/>
      </c>
      <c r="P68" s="117">
        <f>IF(OR(A68="",M68=0),"",O68/(M68/3))</f>
        <v/>
      </c>
      <c r="Q68" s="116">
        <f>IF(A68="","",C68*1508)</f>
        <v/>
      </c>
      <c r="R68" s="128" t="n"/>
      <c r="S68" s="128" t="n"/>
      <c r="T68" s="117">
        <f>IF(OR(A68="",R68=0),"",MAX(R68-S68,0)/R68)</f>
        <v/>
      </c>
      <c r="U68" s="128" t="n"/>
      <c r="V68" s="128" t="n"/>
      <c r="W68" s="117">
        <f>IF(OR(A68="",U68=0),"",MAX(U68-V68,0)/U68)</f>
        <v/>
      </c>
      <c r="X68" s="128" t="n"/>
      <c r="Y68" s="128" t="n"/>
      <c r="Z68" s="117">
        <f>IF(OR(A68="",X68=0),"",MAX(X68-Y68,0)/X68)</f>
        <v/>
      </c>
      <c r="AA68" s="128" t="n"/>
      <c r="AB68" s="128" t="n"/>
      <c r="AC68" s="117">
        <f>IF(OR(A68="",AA68=0),"",MAX(AA68-AB68,0)/AA68)</f>
        <v/>
      </c>
      <c r="AD68" s="128" t="n"/>
      <c r="AE68" s="128" t="n"/>
      <c r="AF68" s="117">
        <f>IF(OR(A68="",AD68=0),"",MAX(AD68-AE68,0)/AD68)</f>
        <v/>
      </c>
      <c r="AG68" s="54">
        <f>IF(A68="",0,(B68*40)+(C68*40))</f>
        <v/>
      </c>
      <c r="AH68" s="54">
        <f>IF(A68="",0,(B68*100)+(C68*0))</f>
        <v/>
      </c>
      <c r="AI68" s="54">
        <f>IF(A68="",0,(B68*10)+(C68*0))</f>
        <v/>
      </c>
      <c r="AJ68" s="54">
        <f>IF(A68="",0,(B68*50)+(C68*0))</f>
        <v/>
      </c>
      <c r="AK68" s="54">
        <f>IF(A68="",0,(B68*20)+(C68*0))</f>
        <v/>
      </c>
      <c r="AL68" s="54">
        <f>IF(A68="",0,(B68*60)+(C68*0))</f>
        <v/>
      </c>
      <c r="AM68" s="54">
        <f>IF(A68="",0,(B68*4)+(C68*4))</f>
        <v/>
      </c>
      <c r="AN68" s="54">
        <f>IF(A68="",0,(B68*4)+(C68*4))</f>
        <v/>
      </c>
      <c r="AO68" s="54">
        <f>IF(A68="",0,(B68*6)+(C68*0))</f>
        <v/>
      </c>
      <c r="AP68" s="54">
        <f>IF(A68="",0,(B68*4)+(C68*10))</f>
        <v/>
      </c>
      <c r="AQ68" s="54">
        <f>IF(A68="",0,(B68*65)+(C68*80))</f>
        <v/>
      </c>
      <c r="AR68" s="54">
        <f>IF(A68="",0,(B68*0)+(C68*5))</f>
        <v/>
      </c>
      <c r="AS68" s="54">
        <f>IF(A68="",0,(B68*0)+(C68*50))</f>
        <v/>
      </c>
      <c r="AT68" s="54">
        <f>IF(A68="",0,(G68*25.51+N68*30+S68*7.5)/1000)</f>
        <v/>
      </c>
      <c r="AU68" s="54">
        <f>IF(A68="",0,(H68*21.74+V68*7.5)/1000)</f>
        <v/>
      </c>
      <c r="AV68" s="54">
        <f>IF(A68="",0,(G68*0.71)/1000)</f>
        <v/>
      </c>
      <c r="AW68" s="54">
        <f>IF(A68="",0,(AB68*5)/1000)</f>
        <v/>
      </c>
      <c r="AX68" s="54">
        <f>IF(A68="",0,(Y68*7)/1000)</f>
        <v/>
      </c>
      <c r="AY68" s="54">
        <f>IF(A68="",0,(AE68*7)/1000)</f>
        <v/>
      </c>
      <c r="AZ68" s="54">
        <f>IF(A68="",0,ROUNDUP((H68+N68)/115,0)*1.5)</f>
        <v/>
      </c>
      <c r="BA68" s="54">
        <f>IF(A68="",0,ROUNDUP((H68+N68)/115,0)*20)</f>
        <v/>
      </c>
      <c r="BB68" s="54">
        <f>IF(A68="",0,ROUNDUP((H68+N68)/115,0)*80)</f>
        <v/>
      </c>
      <c r="BC68" s="54">
        <f>IF(A68="",0,ROUNDUP((H68+N68)/115,0)*5)</f>
        <v/>
      </c>
      <c r="BD68" s="54">
        <f>IF(A68="",0,ROUNDUP((H68+N68)/115,0)*2.5)</f>
        <v/>
      </c>
    </row>
    <row r="69">
      <c r="A69" s="127" t="n"/>
      <c r="B69" s="128" t="n"/>
      <c r="C69" s="128" t="n"/>
      <c r="D69" s="116">
        <f>IF(A69="","",B69*1508)</f>
        <v/>
      </c>
      <c r="E69" s="128" t="n"/>
      <c r="F69" s="128" t="n"/>
      <c r="G69" s="128" t="n"/>
      <c r="H69" s="128" t="n"/>
      <c r="I69" s="116">
        <f>IF(A69="","",MAX((E69/2)-G69,0))</f>
        <v/>
      </c>
      <c r="J69" s="117">
        <f>IF(OR(A69="",E69=0),"",I69/(E69/2))</f>
        <v/>
      </c>
      <c r="K69" s="116">
        <f>IF(A69="","",MAX((F69/2)-H69,0))</f>
        <v/>
      </c>
      <c r="L69" s="117">
        <f>IF(OR(A69="",F69=0),"",K69/(F69/2))</f>
        <v/>
      </c>
      <c r="M69" s="128" t="n"/>
      <c r="N69" s="128" t="n"/>
      <c r="O69" s="116">
        <f>IF(A69="","",MAX((M69/3)-N69,0))</f>
        <v/>
      </c>
      <c r="P69" s="117">
        <f>IF(OR(A69="",M69=0),"",O69/(M69/3))</f>
        <v/>
      </c>
      <c r="Q69" s="116">
        <f>IF(A69="","",C69*1508)</f>
        <v/>
      </c>
      <c r="R69" s="128" t="n"/>
      <c r="S69" s="128" t="n"/>
      <c r="T69" s="117">
        <f>IF(OR(A69="",R69=0),"",MAX(R69-S69,0)/R69)</f>
        <v/>
      </c>
      <c r="U69" s="128" t="n"/>
      <c r="V69" s="128" t="n"/>
      <c r="W69" s="117">
        <f>IF(OR(A69="",U69=0),"",MAX(U69-V69,0)/U69)</f>
        <v/>
      </c>
      <c r="X69" s="128" t="n"/>
      <c r="Y69" s="128" t="n"/>
      <c r="Z69" s="117">
        <f>IF(OR(A69="",X69=0),"",MAX(X69-Y69,0)/X69)</f>
        <v/>
      </c>
      <c r="AA69" s="128" t="n"/>
      <c r="AB69" s="128" t="n"/>
      <c r="AC69" s="117">
        <f>IF(OR(A69="",AA69=0),"",MAX(AA69-AB69,0)/AA69)</f>
        <v/>
      </c>
      <c r="AD69" s="128" t="n"/>
      <c r="AE69" s="128" t="n"/>
      <c r="AF69" s="117">
        <f>IF(OR(A69="",AD69=0),"",MAX(AD69-AE69,0)/AD69)</f>
        <v/>
      </c>
      <c r="AG69" s="54">
        <f>IF(A69="",0,(B69*40)+(C69*40))</f>
        <v/>
      </c>
      <c r="AH69" s="54">
        <f>IF(A69="",0,(B69*100)+(C69*0))</f>
        <v/>
      </c>
      <c r="AI69" s="54">
        <f>IF(A69="",0,(B69*10)+(C69*0))</f>
        <v/>
      </c>
      <c r="AJ69" s="54">
        <f>IF(A69="",0,(B69*50)+(C69*0))</f>
        <v/>
      </c>
      <c r="AK69" s="54">
        <f>IF(A69="",0,(B69*20)+(C69*0))</f>
        <v/>
      </c>
      <c r="AL69" s="54">
        <f>IF(A69="",0,(B69*60)+(C69*0))</f>
        <v/>
      </c>
      <c r="AM69" s="54">
        <f>IF(A69="",0,(B69*4)+(C69*4))</f>
        <v/>
      </c>
      <c r="AN69" s="54">
        <f>IF(A69="",0,(B69*4)+(C69*4))</f>
        <v/>
      </c>
      <c r="AO69" s="54">
        <f>IF(A69="",0,(B69*6)+(C69*0))</f>
        <v/>
      </c>
      <c r="AP69" s="54">
        <f>IF(A69="",0,(B69*4)+(C69*10))</f>
        <v/>
      </c>
      <c r="AQ69" s="54">
        <f>IF(A69="",0,(B69*65)+(C69*80))</f>
        <v/>
      </c>
      <c r="AR69" s="54">
        <f>IF(A69="",0,(B69*0)+(C69*5))</f>
        <v/>
      </c>
      <c r="AS69" s="54">
        <f>IF(A69="",0,(B69*0)+(C69*50))</f>
        <v/>
      </c>
      <c r="AT69" s="54">
        <f>IF(A69="",0,(G69*25.51+N69*30+S69*7.5)/1000)</f>
        <v/>
      </c>
      <c r="AU69" s="54">
        <f>IF(A69="",0,(H69*21.74+V69*7.5)/1000)</f>
        <v/>
      </c>
      <c r="AV69" s="54">
        <f>IF(A69="",0,(G69*0.71)/1000)</f>
        <v/>
      </c>
      <c r="AW69" s="54">
        <f>IF(A69="",0,(AB69*5)/1000)</f>
        <v/>
      </c>
      <c r="AX69" s="54">
        <f>IF(A69="",0,(Y69*7)/1000)</f>
        <v/>
      </c>
      <c r="AY69" s="54">
        <f>IF(A69="",0,(AE69*7)/1000)</f>
        <v/>
      </c>
      <c r="AZ69" s="54">
        <f>IF(A69="",0,ROUNDUP((H69+N69)/115,0)*1.5)</f>
        <v/>
      </c>
      <c r="BA69" s="54">
        <f>IF(A69="",0,ROUNDUP((H69+N69)/115,0)*20)</f>
        <v/>
      </c>
      <c r="BB69" s="54">
        <f>IF(A69="",0,ROUNDUP((H69+N69)/115,0)*80)</f>
        <v/>
      </c>
      <c r="BC69" s="54">
        <f>IF(A69="",0,ROUNDUP((H69+N69)/115,0)*5)</f>
        <v/>
      </c>
      <c r="BD69" s="54">
        <f>IF(A69="",0,ROUNDUP((H69+N69)/115,0)*2.5)</f>
        <v/>
      </c>
    </row>
    <row r="70">
      <c r="A70" s="127" t="n"/>
      <c r="B70" s="128" t="n"/>
      <c r="C70" s="128" t="n"/>
      <c r="D70" s="116">
        <f>IF(A70="","",B70*1508)</f>
        <v/>
      </c>
      <c r="E70" s="128" t="n"/>
      <c r="F70" s="128" t="n"/>
      <c r="G70" s="128" t="n"/>
      <c r="H70" s="128" t="n"/>
      <c r="I70" s="116">
        <f>IF(A70="","",MAX((E70/2)-G70,0))</f>
        <v/>
      </c>
      <c r="J70" s="117">
        <f>IF(OR(A70="",E70=0),"",I70/(E70/2))</f>
        <v/>
      </c>
      <c r="K70" s="116">
        <f>IF(A70="","",MAX((F70/2)-H70,0))</f>
        <v/>
      </c>
      <c r="L70" s="117">
        <f>IF(OR(A70="",F70=0),"",K70/(F70/2))</f>
        <v/>
      </c>
      <c r="M70" s="128" t="n"/>
      <c r="N70" s="128" t="n"/>
      <c r="O70" s="116">
        <f>IF(A70="","",MAX((M70/3)-N70,0))</f>
        <v/>
      </c>
      <c r="P70" s="117">
        <f>IF(OR(A70="",M70=0),"",O70/(M70/3))</f>
        <v/>
      </c>
      <c r="Q70" s="116">
        <f>IF(A70="","",C70*1508)</f>
        <v/>
      </c>
      <c r="R70" s="128" t="n"/>
      <c r="S70" s="128" t="n"/>
      <c r="T70" s="117">
        <f>IF(OR(A70="",R70=0),"",MAX(R70-S70,0)/R70)</f>
        <v/>
      </c>
      <c r="U70" s="128" t="n"/>
      <c r="V70" s="128" t="n"/>
      <c r="W70" s="117">
        <f>IF(OR(A70="",U70=0),"",MAX(U70-V70,0)/U70)</f>
        <v/>
      </c>
      <c r="X70" s="128" t="n"/>
      <c r="Y70" s="128" t="n"/>
      <c r="Z70" s="117">
        <f>IF(OR(A70="",X70=0),"",MAX(X70-Y70,0)/X70)</f>
        <v/>
      </c>
      <c r="AA70" s="128" t="n"/>
      <c r="AB70" s="128" t="n"/>
      <c r="AC70" s="117">
        <f>IF(OR(A70="",AA70=0),"",MAX(AA70-AB70,0)/AA70)</f>
        <v/>
      </c>
      <c r="AD70" s="128" t="n"/>
      <c r="AE70" s="128" t="n"/>
      <c r="AF70" s="117">
        <f>IF(OR(A70="",AD70=0),"",MAX(AD70-AE70,0)/AD70)</f>
        <v/>
      </c>
      <c r="AG70" s="54">
        <f>IF(A70="",0,(B70*40)+(C70*40))</f>
        <v/>
      </c>
      <c r="AH70" s="54">
        <f>IF(A70="",0,(B70*100)+(C70*0))</f>
        <v/>
      </c>
      <c r="AI70" s="54">
        <f>IF(A70="",0,(B70*10)+(C70*0))</f>
        <v/>
      </c>
      <c r="AJ70" s="54">
        <f>IF(A70="",0,(B70*50)+(C70*0))</f>
        <v/>
      </c>
      <c r="AK70" s="54">
        <f>IF(A70="",0,(B70*20)+(C70*0))</f>
        <v/>
      </c>
      <c r="AL70" s="54">
        <f>IF(A70="",0,(B70*60)+(C70*0))</f>
        <v/>
      </c>
      <c r="AM70" s="54">
        <f>IF(A70="",0,(B70*4)+(C70*4))</f>
        <v/>
      </c>
      <c r="AN70" s="54">
        <f>IF(A70="",0,(B70*4)+(C70*4))</f>
        <v/>
      </c>
      <c r="AO70" s="54">
        <f>IF(A70="",0,(B70*6)+(C70*0))</f>
        <v/>
      </c>
      <c r="AP70" s="54">
        <f>IF(A70="",0,(B70*4)+(C70*10))</f>
        <v/>
      </c>
      <c r="AQ70" s="54">
        <f>IF(A70="",0,(B70*65)+(C70*80))</f>
        <v/>
      </c>
      <c r="AR70" s="54">
        <f>IF(A70="",0,(B70*0)+(C70*5))</f>
        <v/>
      </c>
      <c r="AS70" s="54">
        <f>IF(A70="",0,(B70*0)+(C70*50))</f>
        <v/>
      </c>
      <c r="AT70" s="54">
        <f>IF(A70="",0,(G70*25.51+N70*30+S70*7.5)/1000)</f>
        <v/>
      </c>
      <c r="AU70" s="54">
        <f>IF(A70="",0,(H70*21.74+V70*7.5)/1000)</f>
        <v/>
      </c>
      <c r="AV70" s="54">
        <f>IF(A70="",0,(G70*0.71)/1000)</f>
        <v/>
      </c>
      <c r="AW70" s="54">
        <f>IF(A70="",0,(AB70*5)/1000)</f>
        <v/>
      </c>
      <c r="AX70" s="54">
        <f>IF(A70="",0,(Y70*7)/1000)</f>
        <v/>
      </c>
      <c r="AY70" s="54">
        <f>IF(A70="",0,(AE70*7)/1000)</f>
        <v/>
      </c>
      <c r="AZ70" s="54">
        <f>IF(A70="",0,ROUNDUP((H70+N70)/115,0)*1.5)</f>
        <v/>
      </c>
      <c r="BA70" s="54">
        <f>IF(A70="",0,ROUNDUP((H70+N70)/115,0)*20)</f>
        <v/>
      </c>
      <c r="BB70" s="54">
        <f>IF(A70="",0,ROUNDUP((H70+N70)/115,0)*80)</f>
        <v/>
      </c>
      <c r="BC70" s="54">
        <f>IF(A70="",0,ROUNDUP((H70+N70)/115,0)*5)</f>
        <v/>
      </c>
      <c r="BD70" s="54">
        <f>IF(A70="",0,ROUNDUP((H70+N70)/115,0)*2.5)</f>
        <v/>
      </c>
    </row>
    <row r="71">
      <c r="A71" s="127" t="n"/>
      <c r="B71" s="128" t="n"/>
      <c r="C71" s="128" t="n"/>
      <c r="D71" s="116">
        <f>IF(A71="","",B71*1508)</f>
        <v/>
      </c>
      <c r="E71" s="128" t="n"/>
      <c r="F71" s="128" t="n"/>
      <c r="G71" s="128" t="n"/>
      <c r="H71" s="128" t="n"/>
      <c r="I71" s="116">
        <f>IF(A71="","",MAX((E71/2)-G71,0))</f>
        <v/>
      </c>
      <c r="J71" s="117">
        <f>IF(OR(A71="",E71=0),"",I71/(E71/2))</f>
        <v/>
      </c>
      <c r="K71" s="116">
        <f>IF(A71="","",MAX((F71/2)-H71,0))</f>
        <v/>
      </c>
      <c r="L71" s="117">
        <f>IF(OR(A71="",F71=0),"",K71/(F71/2))</f>
        <v/>
      </c>
      <c r="M71" s="128" t="n"/>
      <c r="N71" s="128" t="n"/>
      <c r="O71" s="116">
        <f>IF(A71="","",MAX((M71/3)-N71,0))</f>
        <v/>
      </c>
      <c r="P71" s="117">
        <f>IF(OR(A71="",M71=0),"",O71/(M71/3))</f>
        <v/>
      </c>
      <c r="Q71" s="116">
        <f>IF(A71="","",C71*1508)</f>
        <v/>
      </c>
      <c r="R71" s="128" t="n"/>
      <c r="S71" s="128" t="n"/>
      <c r="T71" s="117">
        <f>IF(OR(A71="",R71=0),"",MAX(R71-S71,0)/R71)</f>
        <v/>
      </c>
      <c r="U71" s="128" t="n"/>
      <c r="V71" s="128" t="n"/>
      <c r="W71" s="117">
        <f>IF(OR(A71="",U71=0),"",MAX(U71-V71,0)/U71)</f>
        <v/>
      </c>
      <c r="X71" s="128" t="n"/>
      <c r="Y71" s="128" t="n"/>
      <c r="Z71" s="117">
        <f>IF(OR(A71="",X71=0),"",MAX(X71-Y71,0)/X71)</f>
        <v/>
      </c>
      <c r="AA71" s="128" t="n"/>
      <c r="AB71" s="128" t="n"/>
      <c r="AC71" s="117">
        <f>IF(OR(A71="",AA71=0),"",MAX(AA71-AB71,0)/AA71)</f>
        <v/>
      </c>
      <c r="AD71" s="128" t="n"/>
      <c r="AE71" s="128" t="n"/>
      <c r="AF71" s="117">
        <f>IF(OR(A71="",AD71=0),"",MAX(AD71-AE71,0)/AD71)</f>
        <v/>
      </c>
      <c r="AG71" s="54">
        <f>IF(A71="",0,(B71*40)+(C71*40))</f>
        <v/>
      </c>
      <c r="AH71" s="54">
        <f>IF(A71="",0,(B71*100)+(C71*0))</f>
        <v/>
      </c>
      <c r="AI71" s="54">
        <f>IF(A71="",0,(B71*10)+(C71*0))</f>
        <v/>
      </c>
      <c r="AJ71" s="54">
        <f>IF(A71="",0,(B71*50)+(C71*0))</f>
        <v/>
      </c>
      <c r="AK71" s="54">
        <f>IF(A71="",0,(B71*20)+(C71*0))</f>
        <v/>
      </c>
      <c r="AL71" s="54">
        <f>IF(A71="",0,(B71*60)+(C71*0))</f>
        <v/>
      </c>
      <c r="AM71" s="54">
        <f>IF(A71="",0,(B71*4)+(C71*4))</f>
        <v/>
      </c>
      <c r="AN71" s="54">
        <f>IF(A71="",0,(B71*4)+(C71*4))</f>
        <v/>
      </c>
      <c r="AO71" s="54">
        <f>IF(A71="",0,(B71*6)+(C71*0))</f>
        <v/>
      </c>
      <c r="AP71" s="54">
        <f>IF(A71="",0,(B71*4)+(C71*10))</f>
        <v/>
      </c>
      <c r="AQ71" s="54">
        <f>IF(A71="",0,(B71*65)+(C71*80))</f>
        <v/>
      </c>
      <c r="AR71" s="54">
        <f>IF(A71="",0,(B71*0)+(C71*5))</f>
        <v/>
      </c>
      <c r="AS71" s="54">
        <f>IF(A71="",0,(B71*0)+(C71*50))</f>
        <v/>
      </c>
      <c r="AT71" s="54">
        <f>IF(A71="",0,(G71*25.51+N71*30+S71*7.5)/1000)</f>
        <v/>
      </c>
      <c r="AU71" s="54">
        <f>IF(A71="",0,(H71*21.74+V71*7.5)/1000)</f>
        <v/>
      </c>
      <c r="AV71" s="54">
        <f>IF(A71="",0,(G71*0.71)/1000)</f>
        <v/>
      </c>
      <c r="AW71" s="54">
        <f>IF(A71="",0,(AB71*5)/1000)</f>
        <v/>
      </c>
      <c r="AX71" s="54">
        <f>IF(A71="",0,(Y71*7)/1000)</f>
        <v/>
      </c>
      <c r="AY71" s="54">
        <f>IF(A71="",0,(AE71*7)/1000)</f>
        <v/>
      </c>
      <c r="AZ71" s="54">
        <f>IF(A71="",0,ROUNDUP((H71+N71)/115,0)*1.5)</f>
        <v/>
      </c>
      <c r="BA71" s="54">
        <f>IF(A71="",0,ROUNDUP((H71+N71)/115,0)*20)</f>
        <v/>
      </c>
      <c r="BB71" s="54">
        <f>IF(A71="",0,ROUNDUP((H71+N71)/115,0)*80)</f>
        <v/>
      </c>
      <c r="BC71" s="54">
        <f>IF(A71="",0,ROUNDUP((H71+N71)/115,0)*5)</f>
        <v/>
      </c>
      <c r="BD71" s="54">
        <f>IF(A71="",0,ROUNDUP((H71+N71)/115,0)*2.5)</f>
        <v/>
      </c>
    </row>
    <row r="72">
      <c r="A72" s="127" t="n"/>
      <c r="B72" s="128" t="n"/>
      <c r="C72" s="128" t="n"/>
      <c r="D72" s="116">
        <f>IF(A72="","",B72*1508)</f>
        <v/>
      </c>
      <c r="E72" s="128" t="n"/>
      <c r="F72" s="128" t="n"/>
      <c r="G72" s="128" t="n"/>
      <c r="H72" s="128" t="n"/>
      <c r="I72" s="116">
        <f>IF(A72="","",MAX((E72/2)-G72,0))</f>
        <v/>
      </c>
      <c r="J72" s="117">
        <f>IF(OR(A72="",E72=0),"",I72/(E72/2))</f>
        <v/>
      </c>
      <c r="K72" s="116">
        <f>IF(A72="","",MAX((F72/2)-H72,0))</f>
        <v/>
      </c>
      <c r="L72" s="117">
        <f>IF(OR(A72="",F72=0),"",K72/(F72/2))</f>
        <v/>
      </c>
      <c r="M72" s="128" t="n"/>
      <c r="N72" s="128" t="n"/>
      <c r="O72" s="116">
        <f>IF(A72="","",MAX((M72/3)-N72,0))</f>
        <v/>
      </c>
      <c r="P72" s="117">
        <f>IF(OR(A72="",M72=0),"",O72/(M72/3))</f>
        <v/>
      </c>
      <c r="Q72" s="116">
        <f>IF(A72="","",C72*1508)</f>
        <v/>
      </c>
      <c r="R72" s="128" t="n"/>
      <c r="S72" s="128" t="n"/>
      <c r="T72" s="117">
        <f>IF(OR(A72="",R72=0),"",MAX(R72-S72,0)/R72)</f>
        <v/>
      </c>
      <c r="U72" s="128" t="n"/>
      <c r="V72" s="128" t="n"/>
      <c r="W72" s="117">
        <f>IF(OR(A72="",U72=0),"",MAX(U72-V72,0)/U72)</f>
        <v/>
      </c>
      <c r="X72" s="128" t="n"/>
      <c r="Y72" s="128" t="n"/>
      <c r="Z72" s="117">
        <f>IF(OR(A72="",X72=0),"",MAX(X72-Y72,0)/X72)</f>
        <v/>
      </c>
      <c r="AA72" s="128" t="n"/>
      <c r="AB72" s="128" t="n"/>
      <c r="AC72" s="117">
        <f>IF(OR(A72="",AA72=0),"",MAX(AA72-AB72,0)/AA72)</f>
        <v/>
      </c>
      <c r="AD72" s="128" t="n"/>
      <c r="AE72" s="128" t="n"/>
      <c r="AF72" s="117">
        <f>IF(OR(A72="",AD72=0),"",MAX(AD72-AE72,0)/AD72)</f>
        <v/>
      </c>
      <c r="AG72" s="54">
        <f>IF(A72="",0,(B72*40)+(C72*40))</f>
        <v/>
      </c>
      <c r="AH72" s="54">
        <f>IF(A72="",0,(B72*100)+(C72*0))</f>
        <v/>
      </c>
      <c r="AI72" s="54">
        <f>IF(A72="",0,(B72*10)+(C72*0))</f>
        <v/>
      </c>
      <c r="AJ72" s="54">
        <f>IF(A72="",0,(B72*50)+(C72*0))</f>
        <v/>
      </c>
      <c r="AK72" s="54">
        <f>IF(A72="",0,(B72*20)+(C72*0))</f>
        <v/>
      </c>
      <c r="AL72" s="54">
        <f>IF(A72="",0,(B72*60)+(C72*0))</f>
        <v/>
      </c>
      <c r="AM72" s="54">
        <f>IF(A72="",0,(B72*4)+(C72*4))</f>
        <v/>
      </c>
      <c r="AN72" s="54">
        <f>IF(A72="",0,(B72*4)+(C72*4))</f>
        <v/>
      </c>
      <c r="AO72" s="54">
        <f>IF(A72="",0,(B72*6)+(C72*0))</f>
        <v/>
      </c>
      <c r="AP72" s="54">
        <f>IF(A72="",0,(B72*4)+(C72*10))</f>
        <v/>
      </c>
      <c r="AQ72" s="54">
        <f>IF(A72="",0,(B72*65)+(C72*80))</f>
        <v/>
      </c>
      <c r="AR72" s="54">
        <f>IF(A72="",0,(B72*0)+(C72*5))</f>
        <v/>
      </c>
      <c r="AS72" s="54">
        <f>IF(A72="",0,(B72*0)+(C72*50))</f>
        <v/>
      </c>
      <c r="AT72" s="54">
        <f>IF(A72="",0,(G72*25.51+N72*30+S72*7.5)/1000)</f>
        <v/>
      </c>
      <c r="AU72" s="54">
        <f>IF(A72="",0,(H72*21.74+V72*7.5)/1000)</f>
        <v/>
      </c>
      <c r="AV72" s="54">
        <f>IF(A72="",0,(G72*0.71)/1000)</f>
        <v/>
      </c>
      <c r="AW72" s="54">
        <f>IF(A72="",0,(AB72*5)/1000)</f>
        <v/>
      </c>
      <c r="AX72" s="54">
        <f>IF(A72="",0,(Y72*7)/1000)</f>
        <v/>
      </c>
      <c r="AY72" s="54">
        <f>IF(A72="",0,(AE72*7)/1000)</f>
        <v/>
      </c>
      <c r="AZ72" s="54">
        <f>IF(A72="",0,ROUNDUP((H72+N72)/115,0)*1.5)</f>
        <v/>
      </c>
      <c r="BA72" s="54">
        <f>IF(A72="",0,ROUNDUP((H72+N72)/115,0)*20)</f>
        <v/>
      </c>
      <c r="BB72" s="54">
        <f>IF(A72="",0,ROUNDUP((H72+N72)/115,0)*80)</f>
        <v/>
      </c>
      <c r="BC72" s="54">
        <f>IF(A72="",0,ROUNDUP((H72+N72)/115,0)*5)</f>
        <v/>
      </c>
      <c r="BD72" s="54">
        <f>IF(A72="",0,ROUNDUP((H72+N72)/115,0)*2.5)</f>
        <v/>
      </c>
    </row>
    <row r="73">
      <c r="A73" s="127" t="n"/>
      <c r="B73" s="128" t="n"/>
      <c r="C73" s="128" t="n"/>
      <c r="D73" s="116">
        <f>IF(A73="","",B73*1508)</f>
        <v/>
      </c>
      <c r="E73" s="128" t="n"/>
      <c r="F73" s="128" t="n"/>
      <c r="G73" s="128" t="n"/>
      <c r="H73" s="128" t="n"/>
      <c r="I73" s="116">
        <f>IF(A73="","",MAX((E73/2)-G73,0))</f>
        <v/>
      </c>
      <c r="J73" s="117">
        <f>IF(OR(A73="",E73=0),"",I73/(E73/2))</f>
        <v/>
      </c>
      <c r="K73" s="116">
        <f>IF(A73="","",MAX((F73/2)-H73,0))</f>
        <v/>
      </c>
      <c r="L73" s="117">
        <f>IF(OR(A73="",F73=0),"",K73/(F73/2))</f>
        <v/>
      </c>
      <c r="M73" s="128" t="n"/>
      <c r="N73" s="128" t="n"/>
      <c r="O73" s="116">
        <f>IF(A73="","",MAX((M73/3)-N73,0))</f>
        <v/>
      </c>
      <c r="P73" s="117">
        <f>IF(OR(A73="",M73=0),"",O73/(M73/3))</f>
        <v/>
      </c>
      <c r="Q73" s="116">
        <f>IF(A73="","",C73*1508)</f>
        <v/>
      </c>
      <c r="R73" s="128" t="n"/>
      <c r="S73" s="128" t="n"/>
      <c r="T73" s="117">
        <f>IF(OR(A73="",R73=0),"",MAX(R73-S73,0)/R73)</f>
        <v/>
      </c>
      <c r="U73" s="128" t="n"/>
      <c r="V73" s="128" t="n"/>
      <c r="W73" s="117">
        <f>IF(OR(A73="",U73=0),"",MAX(U73-V73,0)/U73)</f>
        <v/>
      </c>
      <c r="X73" s="128" t="n"/>
      <c r="Y73" s="128" t="n"/>
      <c r="Z73" s="117">
        <f>IF(OR(A73="",X73=0),"",MAX(X73-Y73,0)/X73)</f>
        <v/>
      </c>
      <c r="AA73" s="128" t="n"/>
      <c r="AB73" s="128" t="n"/>
      <c r="AC73" s="117">
        <f>IF(OR(A73="",AA73=0),"",MAX(AA73-AB73,0)/AA73)</f>
        <v/>
      </c>
      <c r="AD73" s="128" t="n"/>
      <c r="AE73" s="128" t="n"/>
      <c r="AF73" s="117">
        <f>IF(OR(A73="",AD73=0),"",MAX(AD73-AE73,0)/AD73)</f>
        <v/>
      </c>
      <c r="AG73" s="54">
        <f>IF(A73="",0,(B73*40)+(C73*40))</f>
        <v/>
      </c>
      <c r="AH73" s="54">
        <f>IF(A73="",0,(B73*100)+(C73*0))</f>
        <v/>
      </c>
      <c r="AI73" s="54">
        <f>IF(A73="",0,(B73*10)+(C73*0))</f>
        <v/>
      </c>
      <c r="AJ73" s="54">
        <f>IF(A73="",0,(B73*50)+(C73*0))</f>
        <v/>
      </c>
      <c r="AK73" s="54">
        <f>IF(A73="",0,(B73*20)+(C73*0))</f>
        <v/>
      </c>
      <c r="AL73" s="54">
        <f>IF(A73="",0,(B73*60)+(C73*0))</f>
        <v/>
      </c>
      <c r="AM73" s="54">
        <f>IF(A73="",0,(B73*4)+(C73*4))</f>
        <v/>
      </c>
      <c r="AN73" s="54">
        <f>IF(A73="",0,(B73*4)+(C73*4))</f>
        <v/>
      </c>
      <c r="AO73" s="54">
        <f>IF(A73="",0,(B73*6)+(C73*0))</f>
        <v/>
      </c>
      <c r="AP73" s="54">
        <f>IF(A73="",0,(B73*4)+(C73*10))</f>
        <v/>
      </c>
      <c r="AQ73" s="54">
        <f>IF(A73="",0,(B73*65)+(C73*80))</f>
        <v/>
      </c>
      <c r="AR73" s="54">
        <f>IF(A73="",0,(B73*0)+(C73*5))</f>
        <v/>
      </c>
      <c r="AS73" s="54">
        <f>IF(A73="",0,(B73*0)+(C73*50))</f>
        <v/>
      </c>
      <c r="AT73" s="54">
        <f>IF(A73="",0,(G73*25.51+N73*30+S73*7.5)/1000)</f>
        <v/>
      </c>
      <c r="AU73" s="54">
        <f>IF(A73="",0,(H73*21.74+V73*7.5)/1000)</f>
        <v/>
      </c>
      <c r="AV73" s="54">
        <f>IF(A73="",0,(G73*0.71)/1000)</f>
        <v/>
      </c>
      <c r="AW73" s="54">
        <f>IF(A73="",0,(AB73*5)/1000)</f>
        <v/>
      </c>
      <c r="AX73" s="54">
        <f>IF(A73="",0,(Y73*7)/1000)</f>
        <v/>
      </c>
      <c r="AY73" s="54">
        <f>IF(A73="",0,(AE73*7)/1000)</f>
        <v/>
      </c>
      <c r="AZ73" s="54">
        <f>IF(A73="",0,ROUNDUP((H73+N73)/115,0)*1.5)</f>
        <v/>
      </c>
      <c r="BA73" s="54">
        <f>IF(A73="",0,ROUNDUP((H73+N73)/115,0)*20)</f>
        <v/>
      </c>
      <c r="BB73" s="54">
        <f>IF(A73="",0,ROUNDUP((H73+N73)/115,0)*80)</f>
        <v/>
      </c>
      <c r="BC73" s="54">
        <f>IF(A73="",0,ROUNDUP((H73+N73)/115,0)*5)</f>
        <v/>
      </c>
      <c r="BD73" s="54">
        <f>IF(A73="",0,ROUNDUP((H73+N73)/115,0)*2.5)</f>
        <v/>
      </c>
    </row>
    <row r="74">
      <c r="A74" s="127" t="n"/>
      <c r="B74" s="128" t="n"/>
      <c r="C74" s="128" t="n"/>
      <c r="D74" s="116">
        <f>IF(A74="","",B74*1508)</f>
        <v/>
      </c>
      <c r="E74" s="128" t="n"/>
      <c r="F74" s="128" t="n"/>
      <c r="G74" s="128" t="n"/>
      <c r="H74" s="128" t="n"/>
      <c r="I74" s="116">
        <f>IF(A74="","",MAX((E74/2)-G74,0))</f>
        <v/>
      </c>
      <c r="J74" s="117">
        <f>IF(OR(A74="",E74=0),"",I74/(E74/2))</f>
        <v/>
      </c>
      <c r="K74" s="116">
        <f>IF(A74="","",MAX((F74/2)-H74,0))</f>
        <v/>
      </c>
      <c r="L74" s="117">
        <f>IF(OR(A74="",F74=0),"",K74/(F74/2))</f>
        <v/>
      </c>
      <c r="M74" s="128" t="n"/>
      <c r="N74" s="128" t="n"/>
      <c r="O74" s="116">
        <f>IF(A74="","",MAX((M74/3)-N74,0))</f>
        <v/>
      </c>
      <c r="P74" s="117">
        <f>IF(OR(A74="",M74=0),"",O74/(M74/3))</f>
        <v/>
      </c>
      <c r="Q74" s="116">
        <f>IF(A74="","",C74*1508)</f>
        <v/>
      </c>
      <c r="R74" s="128" t="n"/>
      <c r="S74" s="128" t="n"/>
      <c r="T74" s="117">
        <f>IF(OR(A74="",R74=0),"",MAX(R74-S74,0)/R74)</f>
        <v/>
      </c>
      <c r="U74" s="128" t="n"/>
      <c r="V74" s="128" t="n"/>
      <c r="W74" s="117">
        <f>IF(OR(A74="",U74=0),"",MAX(U74-V74,0)/U74)</f>
        <v/>
      </c>
      <c r="X74" s="128" t="n"/>
      <c r="Y74" s="128" t="n"/>
      <c r="Z74" s="117">
        <f>IF(OR(A74="",X74=0),"",MAX(X74-Y74,0)/X74)</f>
        <v/>
      </c>
      <c r="AA74" s="128" t="n"/>
      <c r="AB74" s="128" t="n"/>
      <c r="AC74" s="117">
        <f>IF(OR(A74="",AA74=0),"",MAX(AA74-AB74,0)/AA74)</f>
        <v/>
      </c>
      <c r="AD74" s="128" t="n"/>
      <c r="AE74" s="128" t="n"/>
      <c r="AF74" s="117">
        <f>IF(OR(A74="",AD74=0),"",MAX(AD74-AE74,0)/AD74)</f>
        <v/>
      </c>
      <c r="AG74" s="54">
        <f>IF(A74="",0,(B74*40)+(C74*40))</f>
        <v/>
      </c>
      <c r="AH74" s="54">
        <f>IF(A74="",0,(B74*100)+(C74*0))</f>
        <v/>
      </c>
      <c r="AI74" s="54">
        <f>IF(A74="",0,(B74*10)+(C74*0))</f>
        <v/>
      </c>
      <c r="AJ74" s="54">
        <f>IF(A74="",0,(B74*50)+(C74*0))</f>
        <v/>
      </c>
      <c r="AK74" s="54">
        <f>IF(A74="",0,(B74*20)+(C74*0))</f>
        <v/>
      </c>
      <c r="AL74" s="54">
        <f>IF(A74="",0,(B74*60)+(C74*0))</f>
        <v/>
      </c>
      <c r="AM74" s="54">
        <f>IF(A74="",0,(B74*4)+(C74*4))</f>
        <v/>
      </c>
      <c r="AN74" s="54">
        <f>IF(A74="",0,(B74*4)+(C74*4))</f>
        <v/>
      </c>
      <c r="AO74" s="54">
        <f>IF(A74="",0,(B74*6)+(C74*0))</f>
        <v/>
      </c>
      <c r="AP74" s="54">
        <f>IF(A74="",0,(B74*4)+(C74*10))</f>
        <v/>
      </c>
      <c r="AQ74" s="54">
        <f>IF(A74="",0,(B74*65)+(C74*80))</f>
        <v/>
      </c>
      <c r="AR74" s="54">
        <f>IF(A74="",0,(B74*0)+(C74*5))</f>
        <v/>
      </c>
      <c r="AS74" s="54">
        <f>IF(A74="",0,(B74*0)+(C74*50))</f>
        <v/>
      </c>
      <c r="AT74" s="54">
        <f>IF(A74="",0,(G74*25.51+N74*30+S74*7.5)/1000)</f>
        <v/>
      </c>
      <c r="AU74" s="54">
        <f>IF(A74="",0,(H74*21.74+V74*7.5)/1000)</f>
        <v/>
      </c>
      <c r="AV74" s="54">
        <f>IF(A74="",0,(G74*0.71)/1000)</f>
        <v/>
      </c>
      <c r="AW74" s="54">
        <f>IF(A74="",0,(AB74*5)/1000)</f>
        <v/>
      </c>
      <c r="AX74" s="54">
        <f>IF(A74="",0,(Y74*7)/1000)</f>
        <v/>
      </c>
      <c r="AY74" s="54">
        <f>IF(A74="",0,(AE74*7)/1000)</f>
        <v/>
      </c>
      <c r="AZ74" s="54">
        <f>IF(A74="",0,ROUNDUP((H74+N74)/115,0)*1.5)</f>
        <v/>
      </c>
      <c r="BA74" s="54">
        <f>IF(A74="",0,ROUNDUP((H74+N74)/115,0)*20)</f>
        <v/>
      </c>
      <c r="BB74" s="54">
        <f>IF(A74="",0,ROUNDUP((H74+N74)/115,0)*80)</f>
        <v/>
      </c>
      <c r="BC74" s="54">
        <f>IF(A74="",0,ROUNDUP((H74+N74)/115,0)*5)</f>
        <v/>
      </c>
      <c r="BD74" s="54">
        <f>IF(A74="",0,ROUNDUP((H74+N74)/115,0)*2.5)</f>
        <v/>
      </c>
    </row>
    <row r="75">
      <c r="A75" s="127" t="n"/>
      <c r="B75" s="128" t="n"/>
      <c r="C75" s="128" t="n"/>
      <c r="D75" s="116">
        <f>IF(A75="","",B75*1508)</f>
        <v/>
      </c>
      <c r="E75" s="128" t="n"/>
      <c r="F75" s="128" t="n"/>
      <c r="G75" s="128" t="n"/>
      <c r="H75" s="128" t="n"/>
      <c r="I75" s="116">
        <f>IF(A75="","",MAX((E75/2)-G75,0))</f>
        <v/>
      </c>
      <c r="J75" s="117">
        <f>IF(OR(A75="",E75=0),"",I75/(E75/2))</f>
        <v/>
      </c>
      <c r="K75" s="116">
        <f>IF(A75="","",MAX((F75/2)-H75,0))</f>
        <v/>
      </c>
      <c r="L75" s="117">
        <f>IF(OR(A75="",F75=0),"",K75/(F75/2))</f>
        <v/>
      </c>
      <c r="M75" s="128" t="n"/>
      <c r="N75" s="128" t="n"/>
      <c r="O75" s="116">
        <f>IF(A75="","",MAX((M75/3)-N75,0))</f>
        <v/>
      </c>
      <c r="P75" s="117">
        <f>IF(OR(A75="",M75=0),"",O75/(M75/3))</f>
        <v/>
      </c>
      <c r="Q75" s="116">
        <f>IF(A75="","",C75*1508)</f>
        <v/>
      </c>
      <c r="R75" s="128" t="n"/>
      <c r="S75" s="128" t="n"/>
      <c r="T75" s="117">
        <f>IF(OR(A75="",R75=0),"",MAX(R75-S75,0)/R75)</f>
        <v/>
      </c>
      <c r="U75" s="128" t="n"/>
      <c r="V75" s="128" t="n"/>
      <c r="W75" s="117">
        <f>IF(OR(A75="",U75=0),"",MAX(U75-V75,0)/U75)</f>
        <v/>
      </c>
      <c r="X75" s="128" t="n"/>
      <c r="Y75" s="128" t="n"/>
      <c r="Z75" s="117">
        <f>IF(OR(A75="",X75=0),"",MAX(X75-Y75,0)/X75)</f>
        <v/>
      </c>
      <c r="AA75" s="128" t="n"/>
      <c r="AB75" s="128" t="n"/>
      <c r="AC75" s="117">
        <f>IF(OR(A75="",AA75=0),"",MAX(AA75-AB75,0)/AA75)</f>
        <v/>
      </c>
      <c r="AD75" s="128" t="n"/>
      <c r="AE75" s="128" t="n"/>
      <c r="AF75" s="117">
        <f>IF(OR(A75="",AD75=0),"",MAX(AD75-AE75,0)/AD75)</f>
        <v/>
      </c>
      <c r="AG75" s="54">
        <f>IF(A75="",0,(B75*40)+(C75*40))</f>
        <v/>
      </c>
      <c r="AH75" s="54">
        <f>IF(A75="",0,(B75*100)+(C75*0))</f>
        <v/>
      </c>
      <c r="AI75" s="54">
        <f>IF(A75="",0,(B75*10)+(C75*0))</f>
        <v/>
      </c>
      <c r="AJ75" s="54">
        <f>IF(A75="",0,(B75*50)+(C75*0))</f>
        <v/>
      </c>
      <c r="AK75" s="54">
        <f>IF(A75="",0,(B75*20)+(C75*0))</f>
        <v/>
      </c>
      <c r="AL75" s="54">
        <f>IF(A75="",0,(B75*60)+(C75*0))</f>
        <v/>
      </c>
      <c r="AM75" s="54">
        <f>IF(A75="",0,(B75*4)+(C75*4))</f>
        <v/>
      </c>
      <c r="AN75" s="54">
        <f>IF(A75="",0,(B75*4)+(C75*4))</f>
        <v/>
      </c>
      <c r="AO75" s="54">
        <f>IF(A75="",0,(B75*6)+(C75*0))</f>
        <v/>
      </c>
      <c r="AP75" s="54">
        <f>IF(A75="",0,(B75*4)+(C75*10))</f>
        <v/>
      </c>
      <c r="AQ75" s="54">
        <f>IF(A75="",0,(B75*65)+(C75*80))</f>
        <v/>
      </c>
      <c r="AR75" s="54">
        <f>IF(A75="",0,(B75*0)+(C75*5))</f>
        <v/>
      </c>
      <c r="AS75" s="54">
        <f>IF(A75="",0,(B75*0)+(C75*50))</f>
        <v/>
      </c>
      <c r="AT75" s="54">
        <f>IF(A75="",0,(G75*25.51+N75*30+S75*7.5)/1000)</f>
        <v/>
      </c>
      <c r="AU75" s="54">
        <f>IF(A75="",0,(H75*21.74+V75*7.5)/1000)</f>
        <v/>
      </c>
      <c r="AV75" s="54">
        <f>IF(A75="",0,(G75*0.71)/1000)</f>
        <v/>
      </c>
      <c r="AW75" s="54">
        <f>IF(A75="",0,(AB75*5)/1000)</f>
        <v/>
      </c>
      <c r="AX75" s="54">
        <f>IF(A75="",0,(Y75*7)/1000)</f>
        <v/>
      </c>
      <c r="AY75" s="54">
        <f>IF(A75="",0,(AE75*7)/1000)</f>
        <v/>
      </c>
      <c r="AZ75" s="54">
        <f>IF(A75="",0,ROUNDUP((H75+N75)/115,0)*1.5)</f>
        <v/>
      </c>
      <c r="BA75" s="54">
        <f>IF(A75="",0,ROUNDUP((H75+N75)/115,0)*20)</f>
        <v/>
      </c>
      <c r="BB75" s="54">
        <f>IF(A75="",0,ROUNDUP((H75+N75)/115,0)*80)</f>
        <v/>
      </c>
      <c r="BC75" s="54">
        <f>IF(A75="",0,ROUNDUP((H75+N75)/115,0)*5)</f>
        <v/>
      </c>
      <c r="BD75" s="54">
        <f>IF(A75="",0,ROUNDUP((H75+N75)/115,0)*2.5)</f>
        <v/>
      </c>
    </row>
    <row r="76">
      <c r="A76" s="127" t="n"/>
      <c r="B76" s="128" t="n"/>
      <c r="C76" s="128" t="n"/>
      <c r="D76" s="116">
        <f>IF(A76="","",B76*1508)</f>
        <v/>
      </c>
      <c r="E76" s="128" t="n"/>
      <c r="F76" s="128" t="n"/>
      <c r="G76" s="128" t="n"/>
      <c r="H76" s="128" t="n"/>
      <c r="I76" s="116">
        <f>IF(A76="","",MAX((E76/2)-G76,0))</f>
        <v/>
      </c>
      <c r="J76" s="117">
        <f>IF(OR(A76="",E76=0),"",I76/(E76/2))</f>
        <v/>
      </c>
      <c r="K76" s="116">
        <f>IF(A76="","",MAX((F76/2)-H76,0))</f>
        <v/>
      </c>
      <c r="L76" s="117">
        <f>IF(OR(A76="",F76=0),"",K76/(F76/2))</f>
        <v/>
      </c>
      <c r="M76" s="128" t="n"/>
      <c r="N76" s="128" t="n"/>
      <c r="O76" s="116">
        <f>IF(A76="","",MAX((M76/3)-N76,0))</f>
        <v/>
      </c>
      <c r="P76" s="117">
        <f>IF(OR(A76="",M76=0),"",O76/(M76/3))</f>
        <v/>
      </c>
      <c r="Q76" s="116">
        <f>IF(A76="","",C76*1508)</f>
        <v/>
      </c>
      <c r="R76" s="128" t="n"/>
      <c r="S76" s="128" t="n"/>
      <c r="T76" s="117">
        <f>IF(OR(A76="",R76=0),"",MAX(R76-S76,0)/R76)</f>
        <v/>
      </c>
      <c r="U76" s="128" t="n"/>
      <c r="V76" s="128" t="n"/>
      <c r="W76" s="117">
        <f>IF(OR(A76="",U76=0),"",MAX(U76-V76,0)/U76)</f>
        <v/>
      </c>
      <c r="X76" s="128" t="n"/>
      <c r="Y76" s="128" t="n"/>
      <c r="Z76" s="117">
        <f>IF(OR(A76="",X76=0),"",MAX(X76-Y76,0)/X76)</f>
        <v/>
      </c>
      <c r="AA76" s="128" t="n"/>
      <c r="AB76" s="128" t="n"/>
      <c r="AC76" s="117">
        <f>IF(OR(A76="",AA76=0),"",MAX(AA76-AB76,0)/AA76)</f>
        <v/>
      </c>
      <c r="AD76" s="128" t="n"/>
      <c r="AE76" s="128" t="n"/>
      <c r="AF76" s="117">
        <f>IF(OR(A76="",AD76=0),"",MAX(AD76-AE76,0)/AD76)</f>
        <v/>
      </c>
      <c r="AG76" s="54">
        <f>IF(A76="",0,(B76*40)+(C76*40))</f>
        <v/>
      </c>
      <c r="AH76" s="54">
        <f>IF(A76="",0,(B76*100)+(C76*0))</f>
        <v/>
      </c>
      <c r="AI76" s="54">
        <f>IF(A76="",0,(B76*10)+(C76*0))</f>
        <v/>
      </c>
      <c r="AJ76" s="54">
        <f>IF(A76="",0,(B76*50)+(C76*0))</f>
        <v/>
      </c>
      <c r="AK76" s="54">
        <f>IF(A76="",0,(B76*20)+(C76*0))</f>
        <v/>
      </c>
      <c r="AL76" s="54">
        <f>IF(A76="",0,(B76*60)+(C76*0))</f>
        <v/>
      </c>
      <c r="AM76" s="54">
        <f>IF(A76="",0,(B76*4)+(C76*4))</f>
        <v/>
      </c>
      <c r="AN76" s="54">
        <f>IF(A76="",0,(B76*4)+(C76*4))</f>
        <v/>
      </c>
      <c r="AO76" s="54">
        <f>IF(A76="",0,(B76*6)+(C76*0))</f>
        <v/>
      </c>
      <c r="AP76" s="54">
        <f>IF(A76="",0,(B76*4)+(C76*10))</f>
        <v/>
      </c>
      <c r="AQ76" s="54">
        <f>IF(A76="",0,(B76*65)+(C76*80))</f>
        <v/>
      </c>
      <c r="AR76" s="54">
        <f>IF(A76="",0,(B76*0)+(C76*5))</f>
        <v/>
      </c>
      <c r="AS76" s="54">
        <f>IF(A76="",0,(B76*0)+(C76*50))</f>
        <v/>
      </c>
      <c r="AT76" s="54">
        <f>IF(A76="",0,(G76*25.51+N76*30+S76*7.5)/1000)</f>
        <v/>
      </c>
      <c r="AU76" s="54">
        <f>IF(A76="",0,(H76*21.74+V76*7.5)/1000)</f>
        <v/>
      </c>
      <c r="AV76" s="54">
        <f>IF(A76="",0,(G76*0.71)/1000)</f>
        <v/>
      </c>
      <c r="AW76" s="54">
        <f>IF(A76="",0,(AB76*5)/1000)</f>
        <v/>
      </c>
      <c r="AX76" s="54">
        <f>IF(A76="",0,(Y76*7)/1000)</f>
        <v/>
      </c>
      <c r="AY76" s="54">
        <f>IF(A76="",0,(AE76*7)/1000)</f>
        <v/>
      </c>
      <c r="AZ76" s="54">
        <f>IF(A76="",0,ROUNDUP((H76+N76)/115,0)*1.5)</f>
        <v/>
      </c>
      <c r="BA76" s="54">
        <f>IF(A76="",0,ROUNDUP((H76+N76)/115,0)*20)</f>
        <v/>
      </c>
      <c r="BB76" s="54">
        <f>IF(A76="",0,ROUNDUP((H76+N76)/115,0)*80)</f>
        <v/>
      </c>
      <c r="BC76" s="54">
        <f>IF(A76="",0,ROUNDUP((H76+N76)/115,0)*5)</f>
        <v/>
      </c>
      <c r="BD76" s="54">
        <f>IF(A76="",0,ROUNDUP((H76+N76)/115,0)*2.5)</f>
        <v/>
      </c>
    </row>
    <row r="77">
      <c r="A77" s="127" t="n"/>
      <c r="B77" s="128" t="n"/>
      <c r="C77" s="128" t="n"/>
      <c r="D77" s="116">
        <f>IF(A77="","",B77*1508)</f>
        <v/>
      </c>
      <c r="E77" s="128" t="n"/>
      <c r="F77" s="128" t="n"/>
      <c r="G77" s="128" t="n"/>
      <c r="H77" s="128" t="n"/>
      <c r="I77" s="116">
        <f>IF(A77="","",MAX((E77/2)-G77,0))</f>
        <v/>
      </c>
      <c r="J77" s="117">
        <f>IF(OR(A77="",E77=0),"",I77/(E77/2))</f>
        <v/>
      </c>
      <c r="K77" s="116">
        <f>IF(A77="","",MAX((F77/2)-H77,0))</f>
        <v/>
      </c>
      <c r="L77" s="117">
        <f>IF(OR(A77="",F77=0),"",K77/(F77/2))</f>
        <v/>
      </c>
      <c r="M77" s="128" t="n"/>
      <c r="N77" s="128" t="n"/>
      <c r="O77" s="116">
        <f>IF(A77="","",MAX((M77/3)-N77,0))</f>
        <v/>
      </c>
      <c r="P77" s="117">
        <f>IF(OR(A77="",M77=0),"",O77/(M77/3))</f>
        <v/>
      </c>
      <c r="Q77" s="116">
        <f>IF(A77="","",C77*1508)</f>
        <v/>
      </c>
      <c r="R77" s="128" t="n"/>
      <c r="S77" s="128" t="n"/>
      <c r="T77" s="117">
        <f>IF(OR(A77="",R77=0),"",MAX(R77-S77,0)/R77)</f>
        <v/>
      </c>
      <c r="U77" s="128" t="n"/>
      <c r="V77" s="128" t="n"/>
      <c r="W77" s="117">
        <f>IF(OR(A77="",U77=0),"",MAX(U77-V77,0)/U77)</f>
        <v/>
      </c>
      <c r="X77" s="128" t="n"/>
      <c r="Y77" s="128" t="n"/>
      <c r="Z77" s="117">
        <f>IF(OR(A77="",X77=0),"",MAX(X77-Y77,0)/X77)</f>
        <v/>
      </c>
      <c r="AA77" s="128" t="n"/>
      <c r="AB77" s="128" t="n"/>
      <c r="AC77" s="117">
        <f>IF(OR(A77="",AA77=0),"",MAX(AA77-AB77,0)/AA77)</f>
        <v/>
      </c>
      <c r="AD77" s="128" t="n"/>
      <c r="AE77" s="128" t="n"/>
      <c r="AF77" s="117">
        <f>IF(OR(A77="",AD77=0),"",MAX(AD77-AE77,0)/AD77)</f>
        <v/>
      </c>
      <c r="AG77" s="54">
        <f>IF(A77="",0,(B77*40)+(C77*40))</f>
        <v/>
      </c>
      <c r="AH77" s="54">
        <f>IF(A77="",0,(B77*100)+(C77*0))</f>
        <v/>
      </c>
      <c r="AI77" s="54">
        <f>IF(A77="",0,(B77*10)+(C77*0))</f>
        <v/>
      </c>
      <c r="AJ77" s="54">
        <f>IF(A77="",0,(B77*50)+(C77*0))</f>
        <v/>
      </c>
      <c r="AK77" s="54">
        <f>IF(A77="",0,(B77*20)+(C77*0))</f>
        <v/>
      </c>
      <c r="AL77" s="54">
        <f>IF(A77="",0,(B77*60)+(C77*0))</f>
        <v/>
      </c>
      <c r="AM77" s="54">
        <f>IF(A77="",0,(B77*4)+(C77*4))</f>
        <v/>
      </c>
      <c r="AN77" s="54">
        <f>IF(A77="",0,(B77*4)+(C77*4))</f>
        <v/>
      </c>
      <c r="AO77" s="54">
        <f>IF(A77="",0,(B77*6)+(C77*0))</f>
        <v/>
      </c>
      <c r="AP77" s="54">
        <f>IF(A77="",0,(B77*4)+(C77*10))</f>
        <v/>
      </c>
      <c r="AQ77" s="54">
        <f>IF(A77="",0,(B77*65)+(C77*80))</f>
        <v/>
      </c>
      <c r="AR77" s="54">
        <f>IF(A77="",0,(B77*0)+(C77*5))</f>
        <v/>
      </c>
      <c r="AS77" s="54">
        <f>IF(A77="",0,(B77*0)+(C77*50))</f>
        <v/>
      </c>
      <c r="AT77" s="54">
        <f>IF(A77="",0,(G77*25.51+N77*30+S77*7.5)/1000)</f>
        <v/>
      </c>
      <c r="AU77" s="54">
        <f>IF(A77="",0,(H77*21.74+V77*7.5)/1000)</f>
        <v/>
      </c>
      <c r="AV77" s="54">
        <f>IF(A77="",0,(G77*0.71)/1000)</f>
        <v/>
      </c>
      <c r="AW77" s="54">
        <f>IF(A77="",0,(AB77*5)/1000)</f>
        <v/>
      </c>
      <c r="AX77" s="54">
        <f>IF(A77="",0,(Y77*7)/1000)</f>
        <v/>
      </c>
      <c r="AY77" s="54">
        <f>IF(A77="",0,(AE77*7)/1000)</f>
        <v/>
      </c>
      <c r="AZ77" s="54">
        <f>IF(A77="",0,ROUNDUP((H77+N77)/115,0)*1.5)</f>
        <v/>
      </c>
      <c r="BA77" s="54">
        <f>IF(A77="",0,ROUNDUP((H77+N77)/115,0)*20)</f>
        <v/>
      </c>
      <c r="BB77" s="54">
        <f>IF(A77="",0,ROUNDUP((H77+N77)/115,0)*80)</f>
        <v/>
      </c>
      <c r="BC77" s="54">
        <f>IF(A77="",0,ROUNDUP((H77+N77)/115,0)*5)</f>
        <v/>
      </c>
      <c r="BD77" s="54">
        <f>IF(A77="",0,ROUNDUP((H77+N77)/115,0)*2.5)</f>
        <v/>
      </c>
    </row>
    <row r="78">
      <c r="A78" s="127" t="n"/>
      <c r="B78" s="128" t="n"/>
      <c r="C78" s="128" t="n"/>
      <c r="D78" s="116">
        <f>IF(A78="","",B78*1508)</f>
        <v/>
      </c>
      <c r="E78" s="128" t="n"/>
      <c r="F78" s="128" t="n"/>
      <c r="G78" s="128" t="n"/>
      <c r="H78" s="128" t="n"/>
      <c r="I78" s="116">
        <f>IF(A78="","",MAX((E78/2)-G78,0))</f>
        <v/>
      </c>
      <c r="J78" s="117">
        <f>IF(OR(A78="",E78=0),"",I78/(E78/2))</f>
        <v/>
      </c>
      <c r="K78" s="116">
        <f>IF(A78="","",MAX((F78/2)-H78,0))</f>
        <v/>
      </c>
      <c r="L78" s="117">
        <f>IF(OR(A78="",F78=0),"",K78/(F78/2))</f>
        <v/>
      </c>
      <c r="M78" s="128" t="n"/>
      <c r="N78" s="128" t="n"/>
      <c r="O78" s="116">
        <f>IF(A78="","",MAX((M78/3)-N78,0))</f>
        <v/>
      </c>
      <c r="P78" s="117">
        <f>IF(OR(A78="",M78=0),"",O78/(M78/3))</f>
        <v/>
      </c>
      <c r="Q78" s="116">
        <f>IF(A78="","",C78*1508)</f>
        <v/>
      </c>
      <c r="R78" s="128" t="n"/>
      <c r="S78" s="128" t="n"/>
      <c r="T78" s="117">
        <f>IF(OR(A78="",R78=0),"",MAX(R78-S78,0)/R78)</f>
        <v/>
      </c>
      <c r="U78" s="128" t="n"/>
      <c r="V78" s="128" t="n"/>
      <c r="W78" s="117">
        <f>IF(OR(A78="",U78=0),"",MAX(U78-V78,0)/U78)</f>
        <v/>
      </c>
      <c r="X78" s="128" t="n"/>
      <c r="Y78" s="128" t="n"/>
      <c r="Z78" s="117">
        <f>IF(OR(A78="",X78=0),"",MAX(X78-Y78,0)/X78)</f>
        <v/>
      </c>
      <c r="AA78" s="128" t="n"/>
      <c r="AB78" s="128" t="n"/>
      <c r="AC78" s="117">
        <f>IF(OR(A78="",AA78=0),"",MAX(AA78-AB78,0)/AA78)</f>
        <v/>
      </c>
      <c r="AD78" s="128" t="n"/>
      <c r="AE78" s="128" t="n"/>
      <c r="AF78" s="117">
        <f>IF(OR(A78="",AD78=0),"",MAX(AD78-AE78,0)/AD78)</f>
        <v/>
      </c>
      <c r="AG78" s="54">
        <f>IF(A78="",0,(B78*40)+(C78*40))</f>
        <v/>
      </c>
      <c r="AH78" s="54">
        <f>IF(A78="",0,(B78*100)+(C78*0))</f>
        <v/>
      </c>
      <c r="AI78" s="54">
        <f>IF(A78="",0,(B78*10)+(C78*0))</f>
        <v/>
      </c>
      <c r="AJ78" s="54">
        <f>IF(A78="",0,(B78*50)+(C78*0))</f>
        <v/>
      </c>
      <c r="AK78" s="54">
        <f>IF(A78="",0,(B78*20)+(C78*0))</f>
        <v/>
      </c>
      <c r="AL78" s="54">
        <f>IF(A78="",0,(B78*60)+(C78*0))</f>
        <v/>
      </c>
      <c r="AM78" s="54">
        <f>IF(A78="",0,(B78*4)+(C78*4))</f>
        <v/>
      </c>
      <c r="AN78" s="54">
        <f>IF(A78="",0,(B78*4)+(C78*4))</f>
        <v/>
      </c>
      <c r="AO78" s="54">
        <f>IF(A78="",0,(B78*6)+(C78*0))</f>
        <v/>
      </c>
      <c r="AP78" s="54">
        <f>IF(A78="",0,(B78*4)+(C78*10))</f>
        <v/>
      </c>
      <c r="AQ78" s="54">
        <f>IF(A78="",0,(B78*65)+(C78*80))</f>
        <v/>
      </c>
      <c r="AR78" s="54">
        <f>IF(A78="",0,(B78*0)+(C78*5))</f>
        <v/>
      </c>
      <c r="AS78" s="54">
        <f>IF(A78="",0,(B78*0)+(C78*50))</f>
        <v/>
      </c>
      <c r="AT78" s="54">
        <f>IF(A78="",0,(G78*25.51+N78*30+S78*7.5)/1000)</f>
        <v/>
      </c>
      <c r="AU78" s="54">
        <f>IF(A78="",0,(H78*21.74+V78*7.5)/1000)</f>
        <v/>
      </c>
      <c r="AV78" s="54">
        <f>IF(A78="",0,(G78*0.71)/1000)</f>
        <v/>
      </c>
      <c r="AW78" s="54">
        <f>IF(A78="",0,(AB78*5)/1000)</f>
        <v/>
      </c>
      <c r="AX78" s="54">
        <f>IF(A78="",0,(Y78*7)/1000)</f>
        <v/>
      </c>
      <c r="AY78" s="54">
        <f>IF(A78="",0,(AE78*7)/1000)</f>
        <v/>
      </c>
      <c r="AZ78" s="54">
        <f>IF(A78="",0,ROUNDUP((H78+N78)/115,0)*1.5)</f>
        <v/>
      </c>
      <c r="BA78" s="54">
        <f>IF(A78="",0,ROUNDUP((H78+N78)/115,0)*20)</f>
        <v/>
      </c>
      <c r="BB78" s="54">
        <f>IF(A78="",0,ROUNDUP((H78+N78)/115,0)*80)</f>
        <v/>
      </c>
      <c r="BC78" s="54">
        <f>IF(A78="",0,ROUNDUP((H78+N78)/115,0)*5)</f>
        <v/>
      </c>
      <c r="BD78" s="54">
        <f>IF(A78="",0,ROUNDUP((H78+N78)/115,0)*2.5)</f>
        <v/>
      </c>
    </row>
    <row r="79">
      <c r="A79" s="127" t="n"/>
      <c r="B79" s="128" t="n"/>
      <c r="C79" s="128" t="n"/>
      <c r="D79" s="116">
        <f>IF(A79="","",B79*1508)</f>
        <v/>
      </c>
      <c r="E79" s="128" t="n"/>
      <c r="F79" s="128" t="n"/>
      <c r="G79" s="128" t="n"/>
      <c r="H79" s="128" t="n"/>
      <c r="I79" s="116">
        <f>IF(A79="","",MAX((E79/2)-G79,0))</f>
        <v/>
      </c>
      <c r="J79" s="117">
        <f>IF(OR(A79="",E79=0),"",I79/(E79/2))</f>
        <v/>
      </c>
      <c r="K79" s="116">
        <f>IF(A79="","",MAX((F79/2)-H79,0))</f>
        <v/>
      </c>
      <c r="L79" s="117">
        <f>IF(OR(A79="",F79=0),"",K79/(F79/2))</f>
        <v/>
      </c>
      <c r="M79" s="128" t="n"/>
      <c r="N79" s="128" t="n"/>
      <c r="O79" s="116">
        <f>IF(A79="","",MAX((M79/3)-N79,0))</f>
        <v/>
      </c>
      <c r="P79" s="117">
        <f>IF(OR(A79="",M79=0),"",O79/(M79/3))</f>
        <v/>
      </c>
      <c r="Q79" s="116">
        <f>IF(A79="","",C79*1508)</f>
        <v/>
      </c>
      <c r="R79" s="128" t="n"/>
      <c r="S79" s="128" t="n"/>
      <c r="T79" s="117">
        <f>IF(OR(A79="",R79=0),"",MAX(R79-S79,0)/R79)</f>
        <v/>
      </c>
      <c r="U79" s="128" t="n"/>
      <c r="V79" s="128" t="n"/>
      <c r="W79" s="117">
        <f>IF(OR(A79="",U79=0),"",MAX(U79-V79,0)/U79)</f>
        <v/>
      </c>
      <c r="X79" s="128" t="n"/>
      <c r="Y79" s="128" t="n"/>
      <c r="Z79" s="117">
        <f>IF(OR(A79="",X79=0),"",MAX(X79-Y79,0)/X79)</f>
        <v/>
      </c>
      <c r="AA79" s="128" t="n"/>
      <c r="AB79" s="128" t="n"/>
      <c r="AC79" s="117">
        <f>IF(OR(A79="",AA79=0),"",MAX(AA79-AB79,0)/AA79)</f>
        <v/>
      </c>
      <c r="AD79" s="128" t="n"/>
      <c r="AE79" s="128" t="n"/>
      <c r="AF79" s="117">
        <f>IF(OR(A79="",AD79=0),"",MAX(AD79-AE79,0)/AD79)</f>
        <v/>
      </c>
      <c r="AG79" s="54">
        <f>IF(A79="",0,(B79*40)+(C79*40))</f>
        <v/>
      </c>
      <c r="AH79" s="54">
        <f>IF(A79="",0,(B79*100)+(C79*0))</f>
        <v/>
      </c>
      <c r="AI79" s="54">
        <f>IF(A79="",0,(B79*10)+(C79*0))</f>
        <v/>
      </c>
      <c r="AJ79" s="54">
        <f>IF(A79="",0,(B79*50)+(C79*0))</f>
        <v/>
      </c>
      <c r="AK79" s="54">
        <f>IF(A79="",0,(B79*20)+(C79*0))</f>
        <v/>
      </c>
      <c r="AL79" s="54">
        <f>IF(A79="",0,(B79*60)+(C79*0))</f>
        <v/>
      </c>
      <c r="AM79" s="54">
        <f>IF(A79="",0,(B79*4)+(C79*4))</f>
        <v/>
      </c>
      <c r="AN79" s="54">
        <f>IF(A79="",0,(B79*4)+(C79*4))</f>
        <v/>
      </c>
      <c r="AO79" s="54">
        <f>IF(A79="",0,(B79*6)+(C79*0))</f>
        <v/>
      </c>
      <c r="AP79" s="54">
        <f>IF(A79="",0,(B79*4)+(C79*10))</f>
        <v/>
      </c>
      <c r="AQ79" s="54">
        <f>IF(A79="",0,(B79*65)+(C79*80))</f>
        <v/>
      </c>
      <c r="AR79" s="54">
        <f>IF(A79="",0,(B79*0)+(C79*5))</f>
        <v/>
      </c>
      <c r="AS79" s="54">
        <f>IF(A79="",0,(B79*0)+(C79*50))</f>
        <v/>
      </c>
      <c r="AT79" s="54">
        <f>IF(A79="",0,(G79*25.51+N79*30+S79*7.5)/1000)</f>
        <v/>
      </c>
      <c r="AU79" s="54">
        <f>IF(A79="",0,(H79*21.74+V79*7.5)/1000)</f>
        <v/>
      </c>
      <c r="AV79" s="54">
        <f>IF(A79="",0,(G79*0.71)/1000)</f>
        <v/>
      </c>
      <c r="AW79" s="54">
        <f>IF(A79="",0,(AB79*5)/1000)</f>
        <v/>
      </c>
      <c r="AX79" s="54">
        <f>IF(A79="",0,(Y79*7)/1000)</f>
        <v/>
      </c>
      <c r="AY79" s="54">
        <f>IF(A79="",0,(AE79*7)/1000)</f>
        <v/>
      </c>
      <c r="AZ79" s="54">
        <f>IF(A79="",0,ROUNDUP((H79+N79)/115,0)*1.5)</f>
        <v/>
      </c>
      <c r="BA79" s="54">
        <f>IF(A79="",0,ROUNDUP((H79+N79)/115,0)*20)</f>
        <v/>
      </c>
      <c r="BB79" s="54">
        <f>IF(A79="",0,ROUNDUP((H79+N79)/115,0)*80)</f>
        <v/>
      </c>
      <c r="BC79" s="54">
        <f>IF(A79="",0,ROUNDUP((H79+N79)/115,0)*5)</f>
        <v/>
      </c>
      <c r="BD79" s="54">
        <f>IF(A79="",0,ROUNDUP((H79+N79)/115,0)*2.5)</f>
        <v/>
      </c>
    </row>
    <row r="80">
      <c r="A80" s="127" t="n"/>
      <c r="B80" s="128" t="n"/>
      <c r="C80" s="128" t="n"/>
      <c r="D80" s="116">
        <f>IF(A80="","",B80*1508)</f>
        <v/>
      </c>
      <c r="E80" s="128" t="n"/>
      <c r="F80" s="128" t="n"/>
      <c r="G80" s="128" t="n"/>
      <c r="H80" s="128" t="n"/>
      <c r="I80" s="116">
        <f>IF(A80="","",MAX((E80/2)-G80,0))</f>
        <v/>
      </c>
      <c r="J80" s="117">
        <f>IF(OR(A80="",E80=0),"",I80/(E80/2))</f>
        <v/>
      </c>
      <c r="K80" s="116">
        <f>IF(A80="","",MAX((F80/2)-H80,0))</f>
        <v/>
      </c>
      <c r="L80" s="117">
        <f>IF(OR(A80="",F80=0),"",K80/(F80/2))</f>
        <v/>
      </c>
      <c r="M80" s="128" t="n"/>
      <c r="N80" s="128" t="n"/>
      <c r="O80" s="116">
        <f>IF(A80="","",MAX((M80/3)-N80,0))</f>
        <v/>
      </c>
      <c r="P80" s="117">
        <f>IF(OR(A80="",M80=0),"",O80/(M80/3))</f>
        <v/>
      </c>
      <c r="Q80" s="116">
        <f>IF(A80="","",C80*1508)</f>
        <v/>
      </c>
      <c r="R80" s="128" t="n"/>
      <c r="S80" s="128" t="n"/>
      <c r="T80" s="117">
        <f>IF(OR(A80="",R80=0),"",MAX(R80-S80,0)/R80)</f>
        <v/>
      </c>
      <c r="U80" s="128" t="n"/>
      <c r="V80" s="128" t="n"/>
      <c r="W80" s="117">
        <f>IF(OR(A80="",U80=0),"",MAX(U80-V80,0)/U80)</f>
        <v/>
      </c>
      <c r="X80" s="128" t="n"/>
      <c r="Y80" s="128" t="n"/>
      <c r="Z80" s="117">
        <f>IF(OR(A80="",X80=0),"",MAX(X80-Y80,0)/X80)</f>
        <v/>
      </c>
      <c r="AA80" s="128" t="n"/>
      <c r="AB80" s="128" t="n"/>
      <c r="AC80" s="117">
        <f>IF(OR(A80="",AA80=0),"",MAX(AA80-AB80,0)/AA80)</f>
        <v/>
      </c>
      <c r="AD80" s="128" t="n"/>
      <c r="AE80" s="128" t="n"/>
      <c r="AF80" s="117">
        <f>IF(OR(A80="",AD80=0),"",MAX(AD80-AE80,0)/AD80)</f>
        <v/>
      </c>
      <c r="AG80" s="54">
        <f>IF(A80="",0,(B80*40)+(C80*40))</f>
        <v/>
      </c>
      <c r="AH80" s="54">
        <f>IF(A80="",0,(B80*100)+(C80*0))</f>
        <v/>
      </c>
      <c r="AI80" s="54">
        <f>IF(A80="",0,(B80*10)+(C80*0))</f>
        <v/>
      </c>
      <c r="AJ80" s="54">
        <f>IF(A80="",0,(B80*50)+(C80*0))</f>
        <v/>
      </c>
      <c r="AK80" s="54">
        <f>IF(A80="",0,(B80*20)+(C80*0))</f>
        <v/>
      </c>
      <c r="AL80" s="54">
        <f>IF(A80="",0,(B80*60)+(C80*0))</f>
        <v/>
      </c>
      <c r="AM80" s="54">
        <f>IF(A80="",0,(B80*4)+(C80*4))</f>
        <v/>
      </c>
      <c r="AN80" s="54">
        <f>IF(A80="",0,(B80*4)+(C80*4))</f>
        <v/>
      </c>
      <c r="AO80" s="54">
        <f>IF(A80="",0,(B80*6)+(C80*0))</f>
        <v/>
      </c>
      <c r="AP80" s="54">
        <f>IF(A80="",0,(B80*4)+(C80*10))</f>
        <v/>
      </c>
      <c r="AQ80" s="54">
        <f>IF(A80="",0,(B80*65)+(C80*80))</f>
        <v/>
      </c>
      <c r="AR80" s="54">
        <f>IF(A80="",0,(B80*0)+(C80*5))</f>
        <v/>
      </c>
      <c r="AS80" s="54">
        <f>IF(A80="",0,(B80*0)+(C80*50))</f>
        <v/>
      </c>
      <c r="AT80" s="54">
        <f>IF(A80="",0,(G80*25.51+N80*30+S80*7.5)/1000)</f>
        <v/>
      </c>
      <c r="AU80" s="54">
        <f>IF(A80="",0,(H80*21.74+V80*7.5)/1000)</f>
        <v/>
      </c>
      <c r="AV80" s="54">
        <f>IF(A80="",0,(G80*0.71)/1000)</f>
        <v/>
      </c>
      <c r="AW80" s="54">
        <f>IF(A80="",0,(AB80*5)/1000)</f>
        <v/>
      </c>
      <c r="AX80" s="54">
        <f>IF(A80="",0,(Y80*7)/1000)</f>
        <v/>
      </c>
      <c r="AY80" s="54">
        <f>IF(A80="",0,(AE80*7)/1000)</f>
        <v/>
      </c>
      <c r="AZ80" s="54">
        <f>IF(A80="",0,ROUNDUP((H80+N80)/115,0)*1.5)</f>
        <v/>
      </c>
      <c r="BA80" s="54">
        <f>IF(A80="",0,ROUNDUP((H80+N80)/115,0)*20)</f>
        <v/>
      </c>
      <c r="BB80" s="54">
        <f>IF(A80="",0,ROUNDUP((H80+N80)/115,0)*80)</f>
        <v/>
      </c>
      <c r="BC80" s="54">
        <f>IF(A80="",0,ROUNDUP((H80+N80)/115,0)*5)</f>
        <v/>
      </c>
      <c r="BD80" s="54">
        <f>IF(A80="",0,ROUNDUP((H80+N80)/115,0)*2.5)</f>
        <v/>
      </c>
    </row>
    <row r="81">
      <c r="A81" s="127" t="n"/>
      <c r="B81" s="128" t="n"/>
      <c r="C81" s="128" t="n"/>
      <c r="D81" s="116">
        <f>IF(A81="","",B81*1508)</f>
        <v/>
      </c>
      <c r="E81" s="128" t="n"/>
      <c r="F81" s="128" t="n"/>
      <c r="G81" s="128" t="n"/>
      <c r="H81" s="128" t="n"/>
      <c r="I81" s="116">
        <f>IF(A81="","",MAX((E81/2)-G81,0))</f>
        <v/>
      </c>
      <c r="J81" s="117">
        <f>IF(OR(A81="",E81=0),"",I81/(E81/2))</f>
        <v/>
      </c>
      <c r="K81" s="116">
        <f>IF(A81="","",MAX((F81/2)-H81,0))</f>
        <v/>
      </c>
      <c r="L81" s="117">
        <f>IF(OR(A81="",F81=0),"",K81/(F81/2))</f>
        <v/>
      </c>
      <c r="M81" s="128" t="n"/>
      <c r="N81" s="128" t="n"/>
      <c r="O81" s="116">
        <f>IF(A81="","",MAX((M81/3)-N81,0))</f>
        <v/>
      </c>
      <c r="P81" s="117">
        <f>IF(OR(A81="",M81=0),"",O81/(M81/3))</f>
        <v/>
      </c>
      <c r="Q81" s="116">
        <f>IF(A81="","",C81*1508)</f>
        <v/>
      </c>
      <c r="R81" s="128" t="n"/>
      <c r="S81" s="128" t="n"/>
      <c r="T81" s="117">
        <f>IF(OR(A81="",R81=0),"",MAX(R81-S81,0)/R81)</f>
        <v/>
      </c>
      <c r="U81" s="128" t="n"/>
      <c r="V81" s="128" t="n"/>
      <c r="W81" s="117">
        <f>IF(OR(A81="",U81=0),"",MAX(U81-V81,0)/U81)</f>
        <v/>
      </c>
      <c r="X81" s="128" t="n"/>
      <c r="Y81" s="128" t="n"/>
      <c r="Z81" s="117">
        <f>IF(OR(A81="",X81=0),"",MAX(X81-Y81,0)/X81)</f>
        <v/>
      </c>
      <c r="AA81" s="128" t="n"/>
      <c r="AB81" s="128" t="n"/>
      <c r="AC81" s="117">
        <f>IF(OR(A81="",AA81=0),"",MAX(AA81-AB81,0)/AA81)</f>
        <v/>
      </c>
      <c r="AD81" s="128" t="n"/>
      <c r="AE81" s="128" t="n"/>
      <c r="AF81" s="117">
        <f>IF(OR(A81="",AD81=0),"",MAX(AD81-AE81,0)/AD81)</f>
        <v/>
      </c>
      <c r="AG81" s="54">
        <f>IF(A81="",0,(B81*40)+(C81*40))</f>
        <v/>
      </c>
      <c r="AH81" s="54">
        <f>IF(A81="",0,(B81*100)+(C81*0))</f>
        <v/>
      </c>
      <c r="AI81" s="54">
        <f>IF(A81="",0,(B81*10)+(C81*0))</f>
        <v/>
      </c>
      <c r="AJ81" s="54">
        <f>IF(A81="",0,(B81*50)+(C81*0))</f>
        <v/>
      </c>
      <c r="AK81" s="54">
        <f>IF(A81="",0,(B81*20)+(C81*0))</f>
        <v/>
      </c>
      <c r="AL81" s="54">
        <f>IF(A81="",0,(B81*60)+(C81*0))</f>
        <v/>
      </c>
      <c r="AM81" s="54">
        <f>IF(A81="",0,(B81*4)+(C81*4))</f>
        <v/>
      </c>
      <c r="AN81" s="54">
        <f>IF(A81="",0,(B81*4)+(C81*4))</f>
        <v/>
      </c>
      <c r="AO81" s="54">
        <f>IF(A81="",0,(B81*6)+(C81*0))</f>
        <v/>
      </c>
      <c r="AP81" s="54">
        <f>IF(A81="",0,(B81*4)+(C81*10))</f>
        <v/>
      </c>
      <c r="AQ81" s="54">
        <f>IF(A81="",0,(B81*65)+(C81*80))</f>
        <v/>
      </c>
      <c r="AR81" s="54">
        <f>IF(A81="",0,(B81*0)+(C81*5))</f>
        <v/>
      </c>
      <c r="AS81" s="54">
        <f>IF(A81="",0,(B81*0)+(C81*50))</f>
        <v/>
      </c>
      <c r="AT81" s="54">
        <f>IF(A81="",0,(G81*25.51+N81*30+S81*7.5)/1000)</f>
        <v/>
      </c>
      <c r="AU81" s="54">
        <f>IF(A81="",0,(H81*21.74+V81*7.5)/1000)</f>
        <v/>
      </c>
      <c r="AV81" s="54">
        <f>IF(A81="",0,(G81*0.71)/1000)</f>
        <v/>
      </c>
      <c r="AW81" s="54">
        <f>IF(A81="",0,(AB81*5)/1000)</f>
        <v/>
      </c>
      <c r="AX81" s="54">
        <f>IF(A81="",0,(Y81*7)/1000)</f>
        <v/>
      </c>
      <c r="AY81" s="54">
        <f>IF(A81="",0,(AE81*7)/1000)</f>
        <v/>
      </c>
      <c r="AZ81" s="54">
        <f>IF(A81="",0,ROUNDUP((H81+N81)/115,0)*1.5)</f>
        <v/>
      </c>
      <c r="BA81" s="54">
        <f>IF(A81="",0,ROUNDUP((H81+N81)/115,0)*20)</f>
        <v/>
      </c>
      <c r="BB81" s="54">
        <f>IF(A81="",0,ROUNDUP((H81+N81)/115,0)*80)</f>
        <v/>
      </c>
      <c r="BC81" s="54">
        <f>IF(A81="",0,ROUNDUP((H81+N81)/115,0)*5)</f>
        <v/>
      </c>
      <c r="BD81" s="54">
        <f>IF(A81="",0,ROUNDUP((H81+N81)/115,0)*2.5)</f>
        <v/>
      </c>
    </row>
    <row r="82">
      <c r="A82" s="127" t="n"/>
      <c r="B82" s="128" t="n"/>
      <c r="C82" s="128" t="n"/>
      <c r="D82" s="116">
        <f>IF(A82="","",B82*1508)</f>
        <v/>
      </c>
      <c r="E82" s="128" t="n"/>
      <c r="F82" s="128" t="n"/>
      <c r="G82" s="128" t="n"/>
      <c r="H82" s="128" t="n"/>
      <c r="I82" s="116">
        <f>IF(A82="","",MAX((E82/2)-G82,0))</f>
        <v/>
      </c>
      <c r="J82" s="117">
        <f>IF(OR(A82="",E82=0),"",I82/(E82/2))</f>
        <v/>
      </c>
      <c r="K82" s="116">
        <f>IF(A82="","",MAX((F82/2)-H82,0))</f>
        <v/>
      </c>
      <c r="L82" s="117">
        <f>IF(OR(A82="",F82=0),"",K82/(F82/2))</f>
        <v/>
      </c>
      <c r="M82" s="128" t="n"/>
      <c r="N82" s="128" t="n"/>
      <c r="O82" s="116">
        <f>IF(A82="","",MAX((M82/3)-N82,0))</f>
        <v/>
      </c>
      <c r="P82" s="117">
        <f>IF(OR(A82="",M82=0),"",O82/(M82/3))</f>
        <v/>
      </c>
      <c r="Q82" s="116">
        <f>IF(A82="","",C82*1508)</f>
        <v/>
      </c>
      <c r="R82" s="128" t="n"/>
      <c r="S82" s="128" t="n"/>
      <c r="T82" s="117">
        <f>IF(OR(A82="",R82=0),"",MAX(R82-S82,0)/R82)</f>
        <v/>
      </c>
      <c r="U82" s="128" t="n"/>
      <c r="V82" s="128" t="n"/>
      <c r="W82" s="117">
        <f>IF(OR(A82="",U82=0),"",MAX(U82-V82,0)/U82)</f>
        <v/>
      </c>
      <c r="X82" s="128" t="n"/>
      <c r="Y82" s="128" t="n"/>
      <c r="Z82" s="117">
        <f>IF(OR(A82="",X82=0),"",MAX(X82-Y82,0)/X82)</f>
        <v/>
      </c>
      <c r="AA82" s="128" t="n"/>
      <c r="AB82" s="128" t="n"/>
      <c r="AC82" s="117">
        <f>IF(OR(A82="",AA82=0),"",MAX(AA82-AB82,0)/AA82)</f>
        <v/>
      </c>
      <c r="AD82" s="128" t="n"/>
      <c r="AE82" s="128" t="n"/>
      <c r="AF82" s="117">
        <f>IF(OR(A82="",AD82=0),"",MAX(AD82-AE82,0)/AD82)</f>
        <v/>
      </c>
      <c r="AG82" s="54">
        <f>IF(A82="",0,(B82*40)+(C82*40))</f>
        <v/>
      </c>
      <c r="AH82" s="54">
        <f>IF(A82="",0,(B82*100)+(C82*0))</f>
        <v/>
      </c>
      <c r="AI82" s="54">
        <f>IF(A82="",0,(B82*10)+(C82*0))</f>
        <v/>
      </c>
      <c r="AJ82" s="54">
        <f>IF(A82="",0,(B82*50)+(C82*0))</f>
        <v/>
      </c>
      <c r="AK82" s="54">
        <f>IF(A82="",0,(B82*20)+(C82*0))</f>
        <v/>
      </c>
      <c r="AL82" s="54">
        <f>IF(A82="",0,(B82*60)+(C82*0))</f>
        <v/>
      </c>
      <c r="AM82" s="54">
        <f>IF(A82="",0,(B82*4)+(C82*4))</f>
        <v/>
      </c>
      <c r="AN82" s="54">
        <f>IF(A82="",0,(B82*4)+(C82*4))</f>
        <v/>
      </c>
      <c r="AO82" s="54">
        <f>IF(A82="",0,(B82*6)+(C82*0))</f>
        <v/>
      </c>
      <c r="AP82" s="54">
        <f>IF(A82="",0,(B82*4)+(C82*10))</f>
        <v/>
      </c>
      <c r="AQ82" s="54">
        <f>IF(A82="",0,(B82*65)+(C82*80))</f>
        <v/>
      </c>
      <c r="AR82" s="54">
        <f>IF(A82="",0,(B82*0)+(C82*5))</f>
        <v/>
      </c>
      <c r="AS82" s="54">
        <f>IF(A82="",0,(B82*0)+(C82*50))</f>
        <v/>
      </c>
      <c r="AT82" s="54">
        <f>IF(A82="",0,(G82*25.51+N82*30+S82*7.5)/1000)</f>
        <v/>
      </c>
      <c r="AU82" s="54">
        <f>IF(A82="",0,(H82*21.74+V82*7.5)/1000)</f>
        <v/>
      </c>
      <c r="AV82" s="54">
        <f>IF(A82="",0,(G82*0.71)/1000)</f>
        <v/>
      </c>
      <c r="AW82" s="54">
        <f>IF(A82="",0,(AB82*5)/1000)</f>
        <v/>
      </c>
      <c r="AX82" s="54">
        <f>IF(A82="",0,(Y82*7)/1000)</f>
        <v/>
      </c>
      <c r="AY82" s="54">
        <f>IF(A82="",0,(AE82*7)/1000)</f>
        <v/>
      </c>
      <c r="AZ82" s="54">
        <f>IF(A82="",0,ROUNDUP((H82+N82)/115,0)*1.5)</f>
        <v/>
      </c>
      <c r="BA82" s="54">
        <f>IF(A82="",0,ROUNDUP((H82+N82)/115,0)*20)</f>
        <v/>
      </c>
      <c r="BB82" s="54">
        <f>IF(A82="",0,ROUNDUP((H82+N82)/115,0)*80)</f>
        <v/>
      </c>
      <c r="BC82" s="54">
        <f>IF(A82="",0,ROUNDUP((H82+N82)/115,0)*5)</f>
        <v/>
      </c>
      <c r="BD82" s="54">
        <f>IF(A82="",0,ROUNDUP((H82+N82)/115,0)*2.5)</f>
        <v/>
      </c>
    </row>
    <row r="83">
      <c r="A83" s="127" t="n"/>
      <c r="B83" s="128" t="n"/>
      <c r="C83" s="128" t="n"/>
      <c r="D83" s="116">
        <f>IF(A83="","",B83*1508)</f>
        <v/>
      </c>
      <c r="E83" s="128" t="n"/>
      <c r="F83" s="128" t="n"/>
      <c r="G83" s="128" t="n"/>
      <c r="H83" s="128" t="n"/>
      <c r="I83" s="116">
        <f>IF(A83="","",MAX((E83/2)-G83,0))</f>
        <v/>
      </c>
      <c r="J83" s="117">
        <f>IF(OR(A83="",E83=0),"",I83/(E83/2))</f>
        <v/>
      </c>
      <c r="K83" s="116">
        <f>IF(A83="","",MAX((F83/2)-H83,0))</f>
        <v/>
      </c>
      <c r="L83" s="117">
        <f>IF(OR(A83="",F83=0),"",K83/(F83/2))</f>
        <v/>
      </c>
      <c r="M83" s="128" t="n"/>
      <c r="N83" s="128" t="n"/>
      <c r="O83" s="116">
        <f>IF(A83="","",MAX((M83/3)-N83,0))</f>
        <v/>
      </c>
      <c r="P83" s="117">
        <f>IF(OR(A83="",M83=0),"",O83/(M83/3))</f>
        <v/>
      </c>
      <c r="Q83" s="116">
        <f>IF(A83="","",C83*1508)</f>
        <v/>
      </c>
      <c r="R83" s="128" t="n"/>
      <c r="S83" s="128" t="n"/>
      <c r="T83" s="117">
        <f>IF(OR(A83="",R83=0),"",MAX(R83-S83,0)/R83)</f>
        <v/>
      </c>
      <c r="U83" s="128" t="n"/>
      <c r="V83" s="128" t="n"/>
      <c r="W83" s="117">
        <f>IF(OR(A83="",U83=0),"",MAX(U83-V83,0)/U83)</f>
        <v/>
      </c>
      <c r="X83" s="128" t="n"/>
      <c r="Y83" s="128" t="n"/>
      <c r="Z83" s="117">
        <f>IF(OR(A83="",X83=0),"",MAX(X83-Y83,0)/X83)</f>
        <v/>
      </c>
      <c r="AA83" s="128" t="n"/>
      <c r="AB83" s="128" t="n"/>
      <c r="AC83" s="117">
        <f>IF(OR(A83="",AA83=0),"",MAX(AA83-AB83,0)/AA83)</f>
        <v/>
      </c>
      <c r="AD83" s="128" t="n"/>
      <c r="AE83" s="128" t="n"/>
      <c r="AF83" s="117">
        <f>IF(OR(A83="",AD83=0),"",MAX(AD83-AE83,0)/AD83)</f>
        <v/>
      </c>
      <c r="AG83" s="54">
        <f>IF(A83="",0,(B83*40)+(C83*40))</f>
        <v/>
      </c>
      <c r="AH83" s="54">
        <f>IF(A83="",0,(B83*100)+(C83*0))</f>
        <v/>
      </c>
      <c r="AI83" s="54">
        <f>IF(A83="",0,(B83*10)+(C83*0))</f>
        <v/>
      </c>
      <c r="AJ83" s="54">
        <f>IF(A83="",0,(B83*50)+(C83*0))</f>
        <v/>
      </c>
      <c r="AK83" s="54">
        <f>IF(A83="",0,(B83*20)+(C83*0))</f>
        <v/>
      </c>
      <c r="AL83" s="54">
        <f>IF(A83="",0,(B83*60)+(C83*0))</f>
        <v/>
      </c>
      <c r="AM83" s="54">
        <f>IF(A83="",0,(B83*4)+(C83*4))</f>
        <v/>
      </c>
      <c r="AN83" s="54">
        <f>IF(A83="",0,(B83*4)+(C83*4))</f>
        <v/>
      </c>
      <c r="AO83" s="54">
        <f>IF(A83="",0,(B83*6)+(C83*0))</f>
        <v/>
      </c>
      <c r="AP83" s="54">
        <f>IF(A83="",0,(B83*4)+(C83*10))</f>
        <v/>
      </c>
      <c r="AQ83" s="54">
        <f>IF(A83="",0,(B83*65)+(C83*80))</f>
        <v/>
      </c>
      <c r="AR83" s="54">
        <f>IF(A83="",0,(B83*0)+(C83*5))</f>
        <v/>
      </c>
      <c r="AS83" s="54">
        <f>IF(A83="",0,(B83*0)+(C83*50))</f>
        <v/>
      </c>
      <c r="AT83" s="54">
        <f>IF(A83="",0,(G83*25.51+N83*30+S83*7.5)/1000)</f>
        <v/>
      </c>
      <c r="AU83" s="54">
        <f>IF(A83="",0,(H83*21.74+V83*7.5)/1000)</f>
        <v/>
      </c>
      <c r="AV83" s="54">
        <f>IF(A83="",0,(G83*0.71)/1000)</f>
        <v/>
      </c>
      <c r="AW83" s="54">
        <f>IF(A83="",0,(AB83*5)/1000)</f>
        <v/>
      </c>
      <c r="AX83" s="54">
        <f>IF(A83="",0,(Y83*7)/1000)</f>
        <v/>
      </c>
      <c r="AY83" s="54">
        <f>IF(A83="",0,(AE83*7)/1000)</f>
        <v/>
      </c>
      <c r="AZ83" s="54">
        <f>IF(A83="",0,ROUNDUP((H83+N83)/115,0)*1.5)</f>
        <v/>
      </c>
      <c r="BA83" s="54">
        <f>IF(A83="",0,ROUNDUP((H83+N83)/115,0)*20)</f>
        <v/>
      </c>
      <c r="BB83" s="54">
        <f>IF(A83="",0,ROUNDUP((H83+N83)/115,0)*80)</f>
        <v/>
      </c>
      <c r="BC83" s="54">
        <f>IF(A83="",0,ROUNDUP((H83+N83)/115,0)*5)</f>
        <v/>
      </c>
      <c r="BD83" s="54">
        <f>IF(A83="",0,ROUNDUP((H83+N83)/115,0)*2.5)</f>
        <v/>
      </c>
    </row>
    <row r="84">
      <c r="A84" s="127" t="n"/>
      <c r="B84" s="128" t="n"/>
      <c r="C84" s="128" t="n"/>
      <c r="D84" s="116">
        <f>IF(A84="","",B84*1508)</f>
        <v/>
      </c>
      <c r="E84" s="128" t="n"/>
      <c r="F84" s="128" t="n"/>
      <c r="G84" s="128" t="n"/>
      <c r="H84" s="128" t="n"/>
      <c r="I84" s="116">
        <f>IF(A84="","",MAX((E84/2)-G84,0))</f>
        <v/>
      </c>
      <c r="J84" s="117">
        <f>IF(OR(A84="",E84=0),"",I84/(E84/2))</f>
        <v/>
      </c>
      <c r="K84" s="116">
        <f>IF(A84="","",MAX((F84/2)-H84,0))</f>
        <v/>
      </c>
      <c r="L84" s="117">
        <f>IF(OR(A84="",F84=0),"",K84/(F84/2))</f>
        <v/>
      </c>
      <c r="M84" s="128" t="n"/>
      <c r="N84" s="128" t="n"/>
      <c r="O84" s="116">
        <f>IF(A84="","",MAX((M84/3)-N84,0))</f>
        <v/>
      </c>
      <c r="P84" s="117">
        <f>IF(OR(A84="",M84=0),"",O84/(M84/3))</f>
        <v/>
      </c>
      <c r="Q84" s="116">
        <f>IF(A84="","",C84*1508)</f>
        <v/>
      </c>
      <c r="R84" s="128" t="n"/>
      <c r="S84" s="128" t="n"/>
      <c r="T84" s="117">
        <f>IF(OR(A84="",R84=0),"",MAX(R84-S84,0)/R84)</f>
        <v/>
      </c>
      <c r="U84" s="128" t="n"/>
      <c r="V84" s="128" t="n"/>
      <c r="W84" s="117">
        <f>IF(OR(A84="",U84=0),"",MAX(U84-V84,0)/U84)</f>
        <v/>
      </c>
      <c r="X84" s="128" t="n"/>
      <c r="Y84" s="128" t="n"/>
      <c r="Z84" s="117">
        <f>IF(OR(A84="",X84=0),"",MAX(X84-Y84,0)/X84)</f>
        <v/>
      </c>
      <c r="AA84" s="128" t="n"/>
      <c r="AB84" s="128" t="n"/>
      <c r="AC84" s="117">
        <f>IF(OR(A84="",AA84=0),"",MAX(AA84-AB84,0)/AA84)</f>
        <v/>
      </c>
      <c r="AD84" s="128" t="n"/>
      <c r="AE84" s="128" t="n"/>
      <c r="AF84" s="117">
        <f>IF(OR(A84="",AD84=0),"",MAX(AD84-AE84,0)/AD84)</f>
        <v/>
      </c>
      <c r="AG84" s="54">
        <f>IF(A84="",0,(B84*40)+(C84*40))</f>
        <v/>
      </c>
      <c r="AH84" s="54">
        <f>IF(A84="",0,(B84*100)+(C84*0))</f>
        <v/>
      </c>
      <c r="AI84" s="54">
        <f>IF(A84="",0,(B84*10)+(C84*0))</f>
        <v/>
      </c>
      <c r="AJ84" s="54">
        <f>IF(A84="",0,(B84*50)+(C84*0))</f>
        <v/>
      </c>
      <c r="AK84" s="54">
        <f>IF(A84="",0,(B84*20)+(C84*0))</f>
        <v/>
      </c>
      <c r="AL84" s="54">
        <f>IF(A84="",0,(B84*60)+(C84*0))</f>
        <v/>
      </c>
      <c r="AM84" s="54">
        <f>IF(A84="",0,(B84*4)+(C84*4))</f>
        <v/>
      </c>
      <c r="AN84" s="54">
        <f>IF(A84="",0,(B84*4)+(C84*4))</f>
        <v/>
      </c>
      <c r="AO84" s="54">
        <f>IF(A84="",0,(B84*6)+(C84*0))</f>
        <v/>
      </c>
      <c r="AP84" s="54">
        <f>IF(A84="",0,(B84*4)+(C84*10))</f>
        <v/>
      </c>
      <c r="AQ84" s="54">
        <f>IF(A84="",0,(B84*65)+(C84*80))</f>
        <v/>
      </c>
      <c r="AR84" s="54">
        <f>IF(A84="",0,(B84*0)+(C84*5))</f>
        <v/>
      </c>
      <c r="AS84" s="54">
        <f>IF(A84="",0,(B84*0)+(C84*50))</f>
        <v/>
      </c>
      <c r="AT84" s="54">
        <f>IF(A84="",0,(G84*25.51+N84*30+S84*7.5)/1000)</f>
        <v/>
      </c>
      <c r="AU84" s="54">
        <f>IF(A84="",0,(H84*21.74+V84*7.5)/1000)</f>
        <v/>
      </c>
      <c r="AV84" s="54">
        <f>IF(A84="",0,(G84*0.71)/1000)</f>
        <v/>
      </c>
      <c r="AW84" s="54">
        <f>IF(A84="",0,(AB84*5)/1000)</f>
        <v/>
      </c>
      <c r="AX84" s="54">
        <f>IF(A84="",0,(Y84*7)/1000)</f>
        <v/>
      </c>
      <c r="AY84" s="54">
        <f>IF(A84="",0,(AE84*7)/1000)</f>
        <v/>
      </c>
      <c r="AZ84" s="54">
        <f>IF(A84="",0,ROUNDUP((H84+N84)/115,0)*1.5)</f>
        <v/>
      </c>
      <c r="BA84" s="54">
        <f>IF(A84="",0,ROUNDUP((H84+N84)/115,0)*20)</f>
        <v/>
      </c>
      <c r="BB84" s="54">
        <f>IF(A84="",0,ROUNDUP((H84+N84)/115,0)*80)</f>
        <v/>
      </c>
      <c r="BC84" s="54">
        <f>IF(A84="",0,ROUNDUP((H84+N84)/115,0)*5)</f>
        <v/>
      </c>
      <c r="BD84" s="54">
        <f>IF(A84="",0,ROUNDUP((H84+N84)/115,0)*2.5)</f>
        <v/>
      </c>
    </row>
    <row r="85">
      <c r="A85" s="127" t="n"/>
      <c r="B85" s="128" t="n"/>
      <c r="C85" s="128" t="n"/>
      <c r="D85" s="116">
        <f>IF(A85="","",B85*1508)</f>
        <v/>
      </c>
      <c r="E85" s="128" t="n"/>
      <c r="F85" s="128" t="n"/>
      <c r="G85" s="128" t="n"/>
      <c r="H85" s="128" t="n"/>
      <c r="I85" s="116">
        <f>IF(A85="","",MAX((E85/2)-G85,0))</f>
        <v/>
      </c>
      <c r="J85" s="117">
        <f>IF(OR(A85="",E85=0),"",I85/(E85/2))</f>
        <v/>
      </c>
      <c r="K85" s="116">
        <f>IF(A85="","",MAX((F85/2)-H85,0))</f>
        <v/>
      </c>
      <c r="L85" s="117">
        <f>IF(OR(A85="",F85=0),"",K85/(F85/2))</f>
        <v/>
      </c>
      <c r="M85" s="128" t="n"/>
      <c r="N85" s="128" t="n"/>
      <c r="O85" s="116">
        <f>IF(A85="","",MAX((M85/3)-N85,0))</f>
        <v/>
      </c>
      <c r="P85" s="117">
        <f>IF(OR(A85="",M85=0),"",O85/(M85/3))</f>
        <v/>
      </c>
      <c r="Q85" s="116">
        <f>IF(A85="","",C85*1508)</f>
        <v/>
      </c>
      <c r="R85" s="128" t="n"/>
      <c r="S85" s="128" t="n"/>
      <c r="T85" s="117">
        <f>IF(OR(A85="",R85=0),"",MAX(R85-S85,0)/R85)</f>
        <v/>
      </c>
      <c r="U85" s="128" t="n"/>
      <c r="V85" s="128" t="n"/>
      <c r="W85" s="117">
        <f>IF(OR(A85="",U85=0),"",MAX(U85-V85,0)/U85)</f>
        <v/>
      </c>
      <c r="X85" s="128" t="n"/>
      <c r="Y85" s="128" t="n"/>
      <c r="Z85" s="117">
        <f>IF(OR(A85="",X85=0),"",MAX(X85-Y85,0)/X85)</f>
        <v/>
      </c>
      <c r="AA85" s="128" t="n"/>
      <c r="AB85" s="128" t="n"/>
      <c r="AC85" s="117">
        <f>IF(OR(A85="",AA85=0),"",MAX(AA85-AB85,0)/AA85)</f>
        <v/>
      </c>
      <c r="AD85" s="128" t="n"/>
      <c r="AE85" s="128" t="n"/>
      <c r="AF85" s="117">
        <f>IF(OR(A85="",AD85=0),"",MAX(AD85-AE85,0)/AD85)</f>
        <v/>
      </c>
      <c r="AG85" s="54">
        <f>IF(A85="",0,(B85*40)+(C85*40))</f>
        <v/>
      </c>
      <c r="AH85" s="54">
        <f>IF(A85="",0,(B85*100)+(C85*0))</f>
        <v/>
      </c>
      <c r="AI85" s="54">
        <f>IF(A85="",0,(B85*10)+(C85*0))</f>
        <v/>
      </c>
      <c r="AJ85" s="54">
        <f>IF(A85="",0,(B85*50)+(C85*0))</f>
        <v/>
      </c>
      <c r="AK85" s="54">
        <f>IF(A85="",0,(B85*20)+(C85*0))</f>
        <v/>
      </c>
      <c r="AL85" s="54">
        <f>IF(A85="",0,(B85*60)+(C85*0))</f>
        <v/>
      </c>
      <c r="AM85" s="54">
        <f>IF(A85="",0,(B85*4)+(C85*4))</f>
        <v/>
      </c>
      <c r="AN85" s="54">
        <f>IF(A85="",0,(B85*4)+(C85*4))</f>
        <v/>
      </c>
      <c r="AO85" s="54">
        <f>IF(A85="",0,(B85*6)+(C85*0))</f>
        <v/>
      </c>
      <c r="AP85" s="54">
        <f>IF(A85="",0,(B85*4)+(C85*10))</f>
        <v/>
      </c>
      <c r="AQ85" s="54">
        <f>IF(A85="",0,(B85*65)+(C85*80))</f>
        <v/>
      </c>
      <c r="AR85" s="54">
        <f>IF(A85="",0,(B85*0)+(C85*5))</f>
        <v/>
      </c>
      <c r="AS85" s="54">
        <f>IF(A85="",0,(B85*0)+(C85*50))</f>
        <v/>
      </c>
      <c r="AT85" s="54">
        <f>IF(A85="",0,(G85*25.51+N85*30+S85*7.5)/1000)</f>
        <v/>
      </c>
      <c r="AU85" s="54">
        <f>IF(A85="",0,(H85*21.74+V85*7.5)/1000)</f>
        <v/>
      </c>
      <c r="AV85" s="54">
        <f>IF(A85="",0,(G85*0.71)/1000)</f>
        <v/>
      </c>
      <c r="AW85" s="54">
        <f>IF(A85="",0,(AB85*5)/1000)</f>
        <v/>
      </c>
      <c r="AX85" s="54">
        <f>IF(A85="",0,(Y85*7)/1000)</f>
        <v/>
      </c>
      <c r="AY85" s="54">
        <f>IF(A85="",0,(AE85*7)/1000)</f>
        <v/>
      </c>
      <c r="AZ85" s="54">
        <f>IF(A85="",0,ROUNDUP((H85+N85)/115,0)*1.5)</f>
        <v/>
      </c>
      <c r="BA85" s="54">
        <f>IF(A85="",0,ROUNDUP((H85+N85)/115,0)*20)</f>
        <v/>
      </c>
      <c r="BB85" s="54">
        <f>IF(A85="",0,ROUNDUP((H85+N85)/115,0)*80)</f>
        <v/>
      </c>
      <c r="BC85" s="54">
        <f>IF(A85="",0,ROUNDUP((H85+N85)/115,0)*5)</f>
        <v/>
      </c>
      <c r="BD85" s="54">
        <f>IF(A85="",0,ROUNDUP((H85+N85)/115,0)*2.5)</f>
        <v/>
      </c>
    </row>
    <row r="86">
      <c r="A86" s="127" t="n"/>
      <c r="B86" s="128" t="n"/>
      <c r="C86" s="128" t="n"/>
      <c r="D86" s="116">
        <f>IF(A86="","",B86*1508)</f>
        <v/>
      </c>
      <c r="E86" s="128" t="n"/>
      <c r="F86" s="128" t="n"/>
      <c r="G86" s="128" t="n"/>
      <c r="H86" s="128" t="n"/>
      <c r="I86" s="116">
        <f>IF(A86="","",MAX((E86/2)-G86,0))</f>
        <v/>
      </c>
      <c r="J86" s="117">
        <f>IF(OR(A86="",E86=0),"",I86/(E86/2))</f>
        <v/>
      </c>
      <c r="K86" s="116">
        <f>IF(A86="","",MAX((F86/2)-H86,0))</f>
        <v/>
      </c>
      <c r="L86" s="117">
        <f>IF(OR(A86="",F86=0),"",K86/(F86/2))</f>
        <v/>
      </c>
      <c r="M86" s="128" t="n"/>
      <c r="N86" s="128" t="n"/>
      <c r="O86" s="116">
        <f>IF(A86="","",MAX((M86/3)-N86,0))</f>
        <v/>
      </c>
      <c r="P86" s="117">
        <f>IF(OR(A86="",M86=0),"",O86/(M86/3))</f>
        <v/>
      </c>
      <c r="Q86" s="116">
        <f>IF(A86="","",C86*1508)</f>
        <v/>
      </c>
      <c r="R86" s="128" t="n"/>
      <c r="S86" s="128" t="n"/>
      <c r="T86" s="117">
        <f>IF(OR(A86="",R86=0),"",MAX(R86-S86,0)/R86)</f>
        <v/>
      </c>
      <c r="U86" s="128" t="n"/>
      <c r="V86" s="128" t="n"/>
      <c r="W86" s="117">
        <f>IF(OR(A86="",U86=0),"",MAX(U86-V86,0)/U86)</f>
        <v/>
      </c>
      <c r="X86" s="128" t="n"/>
      <c r="Y86" s="128" t="n"/>
      <c r="Z86" s="117">
        <f>IF(OR(A86="",X86=0),"",MAX(X86-Y86,0)/X86)</f>
        <v/>
      </c>
      <c r="AA86" s="128" t="n"/>
      <c r="AB86" s="128" t="n"/>
      <c r="AC86" s="117">
        <f>IF(OR(A86="",AA86=0),"",MAX(AA86-AB86,0)/AA86)</f>
        <v/>
      </c>
      <c r="AD86" s="128" t="n"/>
      <c r="AE86" s="128" t="n"/>
      <c r="AF86" s="117">
        <f>IF(OR(A86="",AD86=0),"",MAX(AD86-AE86,0)/AD86)</f>
        <v/>
      </c>
      <c r="AG86" s="54">
        <f>IF(A86="",0,(B86*40)+(C86*40))</f>
        <v/>
      </c>
      <c r="AH86" s="54">
        <f>IF(A86="",0,(B86*100)+(C86*0))</f>
        <v/>
      </c>
      <c r="AI86" s="54">
        <f>IF(A86="",0,(B86*10)+(C86*0))</f>
        <v/>
      </c>
      <c r="AJ86" s="54">
        <f>IF(A86="",0,(B86*50)+(C86*0))</f>
        <v/>
      </c>
      <c r="AK86" s="54">
        <f>IF(A86="",0,(B86*20)+(C86*0))</f>
        <v/>
      </c>
      <c r="AL86" s="54">
        <f>IF(A86="",0,(B86*60)+(C86*0))</f>
        <v/>
      </c>
      <c r="AM86" s="54">
        <f>IF(A86="",0,(B86*4)+(C86*4))</f>
        <v/>
      </c>
      <c r="AN86" s="54">
        <f>IF(A86="",0,(B86*4)+(C86*4))</f>
        <v/>
      </c>
      <c r="AO86" s="54">
        <f>IF(A86="",0,(B86*6)+(C86*0))</f>
        <v/>
      </c>
      <c r="AP86" s="54">
        <f>IF(A86="",0,(B86*4)+(C86*10))</f>
        <v/>
      </c>
      <c r="AQ86" s="54">
        <f>IF(A86="",0,(B86*65)+(C86*80))</f>
        <v/>
      </c>
      <c r="AR86" s="54">
        <f>IF(A86="",0,(B86*0)+(C86*5))</f>
        <v/>
      </c>
      <c r="AS86" s="54">
        <f>IF(A86="",0,(B86*0)+(C86*50))</f>
        <v/>
      </c>
      <c r="AT86" s="54">
        <f>IF(A86="",0,(G86*25.51+N86*30+S86*7.5)/1000)</f>
        <v/>
      </c>
      <c r="AU86" s="54">
        <f>IF(A86="",0,(H86*21.74+V86*7.5)/1000)</f>
        <v/>
      </c>
      <c r="AV86" s="54">
        <f>IF(A86="",0,(G86*0.71)/1000)</f>
        <v/>
      </c>
      <c r="AW86" s="54">
        <f>IF(A86="",0,(AB86*5)/1000)</f>
        <v/>
      </c>
      <c r="AX86" s="54">
        <f>IF(A86="",0,(Y86*7)/1000)</f>
        <v/>
      </c>
      <c r="AY86" s="54">
        <f>IF(A86="",0,(AE86*7)/1000)</f>
        <v/>
      </c>
      <c r="AZ86" s="54">
        <f>IF(A86="",0,ROUNDUP((H86+N86)/115,0)*1.5)</f>
        <v/>
      </c>
      <c r="BA86" s="54">
        <f>IF(A86="",0,ROUNDUP((H86+N86)/115,0)*20)</f>
        <v/>
      </c>
      <c r="BB86" s="54">
        <f>IF(A86="",0,ROUNDUP((H86+N86)/115,0)*80)</f>
        <v/>
      </c>
      <c r="BC86" s="54">
        <f>IF(A86="",0,ROUNDUP((H86+N86)/115,0)*5)</f>
        <v/>
      </c>
      <c r="BD86" s="54">
        <f>IF(A86="",0,ROUNDUP((H86+N86)/115,0)*2.5)</f>
        <v/>
      </c>
    </row>
    <row r="87">
      <c r="A87" s="127" t="n"/>
      <c r="B87" s="128" t="n"/>
      <c r="C87" s="128" t="n"/>
      <c r="D87" s="116">
        <f>IF(A87="","",B87*1508)</f>
        <v/>
      </c>
      <c r="E87" s="128" t="n"/>
      <c r="F87" s="128" t="n"/>
      <c r="G87" s="128" t="n"/>
      <c r="H87" s="128" t="n"/>
      <c r="I87" s="116">
        <f>IF(A87="","",MAX((E87/2)-G87,0))</f>
        <v/>
      </c>
      <c r="J87" s="117">
        <f>IF(OR(A87="",E87=0),"",I87/(E87/2))</f>
        <v/>
      </c>
      <c r="K87" s="116">
        <f>IF(A87="","",MAX((F87/2)-H87,0))</f>
        <v/>
      </c>
      <c r="L87" s="117">
        <f>IF(OR(A87="",F87=0),"",K87/(F87/2))</f>
        <v/>
      </c>
      <c r="M87" s="128" t="n"/>
      <c r="N87" s="128" t="n"/>
      <c r="O87" s="116">
        <f>IF(A87="","",MAX((M87/3)-N87,0))</f>
        <v/>
      </c>
      <c r="P87" s="117">
        <f>IF(OR(A87="",M87=0),"",O87/(M87/3))</f>
        <v/>
      </c>
      <c r="Q87" s="116">
        <f>IF(A87="","",C87*1508)</f>
        <v/>
      </c>
      <c r="R87" s="128" t="n"/>
      <c r="S87" s="128" t="n"/>
      <c r="T87" s="117">
        <f>IF(OR(A87="",R87=0),"",MAX(R87-S87,0)/R87)</f>
        <v/>
      </c>
      <c r="U87" s="128" t="n"/>
      <c r="V87" s="128" t="n"/>
      <c r="W87" s="117">
        <f>IF(OR(A87="",U87=0),"",MAX(U87-V87,0)/U87)</f>
        <v/>
      </c>
      <c r="X87" s="128" t="n"/>
      <c r="Y87" s="128" t="n"/>
      <c r="Z87" s="117">
        <f>IF(OR(A87="",X87=0),"",MAX(X87-Y87,0)/X87)</f>
        <v/>
      </c>
      <c r="AA87" s="128" t="n"/>
      <c r="AB87" s="128" t="n"/>
      <c r="AC87" s="117">
        <f>IF(OR(A87="",AA87=0),"",MAX(AA87-AB87,0)/AA87)</f>
        <v/>
      </c>
      <c r="AD87" s="128" t="n"/>
      <c r="AE87" s="128" t="n"/>
      <c r="AF87" s="117">
        <f>IF(OR(A87="",AD87=0),"",MAX(AD87-AE87,0)/AD87)</f>
        <v/>
      </c>
      <c r="AG87" s="54">
        <f>IF(A87="",0,(B87*40)+(C87*40))</f>
        <v/>
      </c>
      <c r="AH87" s="54">
        <f>IF(A87="",0,(B87*100)+(C87*0))</f>
        <v/>
      </c>
      <c r="AI87" s="54">
        <f>IF(A87="",0,(B87*10)+(C87*0))</f>
        <v/>
      </c>
      <c r="AJ87" s="54">
        <f>IF(A87="",0,(B87*50)+(C87*0))</f>
        <v/>
      </c>
      <c r="AK87" s="54">
        <f>IF(A87="",0,(B87*20)+(C87*0))</f>
        <v/>
      </c>
      <c r="AL87" s="54">
        <f>IF(A87="",0,(B87*60)+(C87*0))</f>
        <v/>
      </c>
      <c r="AM87" s="54">
        <f>IF(A87="",0,(B87*4)+(C87*4))</f>
        <v/>
      </c>
      <c r="AN87" s="54">
        <f>IF(A87="",0,(B87*4)+(C87*4))</f>
        <v/>
      </c>
      <c r="AO87" s="54">
        <f>IF(A87="",0,(B87*6)+(C87*0))</f>
        <v/>
      </c>
      <c r="AP87" s="54">
        <f>IF(A87="",0,(B87*4)+(C87*10))</f>
        <v/>
      </c>
      <c r="AQ87" s="54">
        <f>IF(A87="",0,(B87*65)+(C87*80))</f>
        <v/>
      </c>
      <c r="AR87" s="54">
        <f>IF(A87="",0,(B87*0)+(C87*5))</f>
        <v/>
      </c>
      <c r="AS87" s="54">
        <f>IF(A87="",0,(B87*0)+(C87*50))</f>
        <v/>
      </c>
      <c r="AT87" s="54">
        <f>IF(A87="",0,(G87*25.51+N87*30+S87*7.5)/1000)</f>
        <v/>
      </c>
      <c r="AU87" s="54">
        <f>IF(A87="",0,(H87*21.74+V87*7.5)/1000)</f>
        <v/>
      </c>
      <c r="AV87" s="54">
        <f>IF(A87="",0,(G87*0.71)/1000)</f>
        <v/>
      </c>
      <c r="AW87" s="54">
        <f>IF(A87="",0,(AB87*5)/1000)</f>
        <v/>
      </c>
      <c r="AX87" s="54">
        <f>IF(A87="",0,(Y87*7)/1000)</f>
        <v/>
      </c>
      <c r="AY87" s="54">
        <f>IF(A87="",0,(AE87*7)/1000)</f>
        <v/>
      </c>
      <c r="AZ87" s="54">
        <f>IF(A87="",0,ROUNDUP((H87+N87)/115,0)*1.5)</f>
        <v/>
      </c>
      <c r="BA87" s="54">
        <f>IF(A87="",0,ROUNDUP((H87+N87)/115,0)*20)</f>
        <v/>
      </c>
      <c r="BB87" s="54">
        <f>IF(A87="",0,ROUNDUP((H87+N87)/115,0)*80)</f>
        <v/>
      </c>
      <c r="BC87" s="54">
        <f>IF(A87="",0,ROUNDUP((H87+N87)/115,0)*5)</f>
        <v/>
      </c>
      <c r="BD87" s="54">
        <f>IF(A87="",0,ROUNDUP((H87+N87)/115,0)*2.5)</f>
        <v/>
      </c>
    </row>
    <row r="88">
      <c r="A88" s="127" t="n"/>
      <c r="B88" s="128" t="n"/>
      <c r="C88" s="128" t="n"/>
      <c r="D88" s="116">
        <f>IF(A88="","",B88*1508)</f>
        <v/>
      </c>
      <c r="E88" s="128" t="n"/>
      <c r="F88" s="128" t="n"/>
      <c r="G88" s="128" t="n"/>
      <c r="H88" s="128" t="n"/>
      <c r="I88" s="116">
        <f>IF(A88="","",MAX((E88/2)-G88,0))</f>
        <v/>
      </c>
      <c r="J88" s="117">
        <f>IF(OR(A88="",E88=0),"",I88/(E88/2))</f>
        <v/>
      </c>
      <c r="K88" s="116">
        <f>IF(A88="","",MAX((F88/2)-H88,0))</f>
        <v/>
      </c>
      <c r="L88" s="117">
        <f>IF(OR(A88="",F88=0),"",K88/(F88/2))</f>
        <v/>
      </c>
      <c r="M88" s="128" t="n"/>
      <c r="N88" s="128" t="n"/>
      <c r="O88" s="116">
        <f>IF(A88="","",MAX((M88/3)-N88,0))</f>
        <v/>
      </c>
      <c r="P88" s="117">
        <f>IF(OR(A88="",M88=0),"",O88/(M88/3))</f>
        <v/>
      </c>
      <c r="Q88" s="116">
        <f>IF(A88="","",C88*1508)</f>
        <v/>
      </c>
      <c r="R88" s="128" t="n"/>
      <c r="S88" s="128" t="n"/>
      <c r="T88" s="117">
        <f>IF(OR(A88="",R88=0),"",MAX(R88-S88,0)/R88)</f>
        <v/>
      </c>
      <c r="U88" s="128" t="n"/>
      <c r="V88" s="128" t="n"/>
      <c r="W88" s="117">
        <f>IF(OR(A88="",U88=0),"",MAX(U88-V88,0)/U88)</f>
        <v/>
      </c>
      <c r="X88" s="128" t="n"/>
      <c r="Y88" s="128" t="n"/>
      <c r="Z88" s="117">
        <f>IF(OR(A88="",X88=0),"",MAX(X88-Y88,0)/X88)</f>
        <v/>
      </c>
      <c r="AA88" s="128" t="n"/>
      <c r="AB88" s="128" t="n"/>
      <c r="AC88" s="117">
        <f>IF(OR(A88="",AA88=0),"",MAX(AA88-AB88,0)/AA88)</f>
        <v/>
      </c>
      <c r="AD88" s="128" t="n"/>
      <c r="AE88" s="128" t="n"/>
      <c r="AF88" s="117">
        <f>IF(OR(A88="",AD88=0),"",MAX(AD88-AE88,0)/AD88)</f>
        <v/>
      </c>
      <c r="AG88" s="54">
        <f>IF(A88="",0,(B88*40)+(C88*40))</f>
        <v/>
      </c>
      <c r="AH88" s="54">
        <f>IF(A88="",0,(B88*100)+(C88*0))</f>
        <v/>
      </c>
      <c r="AI88" s="54">
        <f>IF(A88="",0,(B88*10)+(C88*0))</f>
        <v/>
      </c>
      <c r="AJ88" s="54">
        <f>IF(A88="",0,(B88*50)+(C88*0))</f>
        <v/>
      </c>
      <c r="AK88" s="54">
        <f>IF(A88="",0,(B88*20)+(C88*0))</f>
        <v/>
      </c>
      <c r="AL88" s="54">
        <f>IF(A88="",0,(B88*60)+(C88*0))</f>
        <v/>
      </c>
      <c r="AM88" s="54">
        <f>IF(A88="",0,(B88*4)+(C88*4))</f>
        <v/>
      </c>
      <c r="AN88" s="54">
        <f>IF(A88="",0,(B88*4)+(C88*4))</f>
        <v/>
      </c>
      <c r="AO88" s="54">
        <f>IF(A88="",0,(B88*6)+(C88*0))</f>
        <v/>
      </c>
      <c r="AP88" s="54">
        <f>IF(A88="",0,(B88*4)+(C88*10))</f>
        <v/>
      </c>
      <c r="AQ88" s="54">
        <f>IF(A88="",0,(B88*65)+(C88*80))</f>
        <v/>
      </c>
      <c r="AR88" s="54">
        <f>IF(A88="",0,(B88*0)+(C88*5))</f>
        <v/>
      </c>
      <c r="AS88" s="54">
        <f>IF(A88="",0,(B88*0)+(C88*50))</f>
        <v/>
      </c>
      <c r="AT88" s="54">
        <f>IF(A88="",0,(G88*25.51+N88*30+S88*7.5)/1000)</f>
        <v/>
      </c>
      <c r="AU88" s="54">
        <f>IF(A88="",0,(H88*21.74+V88*7.5)/1000)</f>
        <v/>
      </c>
      <c r="AV88" s="54">
        <f>IF(A88="",0,(G88*0.71)/1000)</f>
        <v/>
      </c>
      <c r="AW88" s="54">
        <f>IF(A88="",0,(AB88*5)/1000)</f>
        <v/>
      </c>
      <c r="AX88" s="54">
        <f>IF(A88="",0,(Y88*7)/1000)</f>
        <v/>
      </c>
      <c r="AY88" s="54">
        <f>IF(A88="",0,(AE88*7)/1000)</f>
        <v/>
      </c>
      <c r="AZ88" s="54">
        <f>IF(A88="",0,ROUNDUP((H88+N88)/115,0)*1.5)</f>
        <v/>
      </c>
      <c r="BA88" s="54">
        <f>IF(A88="",0,ROUNDUP((H88+N88)/115,0)*20)</f>
        <v/>
      </c>
      <c r="BB88" s="54">
        <f>IF(A88="",0,ROUNDUP((H88+N88)/115,0)*80)</f>
        <v/>
      </c>
      <c r="BC88" s="54">
        <f>IF(A88="",0,ROUNDUP((H88+N88)/115,0)*5)</f>
        <v/>
      </c>
      <c r="BD88" s="54">
        <f>IF(A88="",0,ROUNDUP((H88+N88)/115,0)*2.5)</f>
        <v/>
      </c>
    </row>
    <row r="89">
      <c r="A89" s="127" t="n"/>
      <c r="B89" s="128" t="n"/>
      <c r="C89" s="128" t="n"/>
      <c r="D89" s="116">
        <f>IF(A89="","",B89*1508)</f>
        <v/>
      </c>
      <c r="E89" s="128" t="n"/>
      <c r="F89" s="128" t="n"/>
      <c r="G89" s="128" t="n"/>
      <c r="H89" s="128" t="n"/>
      <c r="I89" s="116">
        <f>IF(A89="","",MAX((E89/2)-G89,0))</f>
        <v/>
      </c>
      <c r="J89" s="117">
        <f>IF(OR(A89="",E89=0),"",I89/(E89/2))</f>
        <v/>
      </c>
      <c r="K89" s="116">
        <f>IF(A89="","",MAX((F89/2)-H89,0))</f>
        <v/>
      </c>
      <c r="L89" s="117">
        <f>IF(OR(A89="",F89=0),"",K89/(F89/2))</f>
        <v/>
      </c>
      <c r="M89" s="128" t="n"/>
      <c r="N89" s="128" t="n"/>
      <c r="O89" s="116">
        <f>IF(A89="","",MAX((M89/3)-N89,0))</f>
        <v/>
      </c>
      <c r="P89" s="117">
        <f>IF(OR(A89="",M89=0),"",O89/(M89/3))</f>
        <v/>
      </c>
      <c r="Q89" s="116">
        <f>IF(A89="","",C89*1508)</f>
        <v/>
      </c>
      <c r="R89" s="128" t="n"/>
      <c r="S89" s="128" t="n"/>
      <c r="T89" s="117">
        <f>IF(OR(A89="",R89=0),"",MAX(R89-S89,0)/R89)</f>
        <v/>
      </c>
      <c r="U89" s="128" t="n"/>
      <c r="V89" s="128" t="n"/>
      <c r="W89" s="117">
        <f>IF(OR(A89="",U89=0),"",MAX(U89-V89,0)/U89)</f>
        <v/>
      </c>
      <c r="X89" s="128" t="n"/>
      <c r="Y89" s="128" t="n"/>
      <c r="Z89" s="117">
        <f>IF(OR(A89="",X89=0),"",MAX(X89-Y89,0)/X89)</f>
        <v/>
      </c>
      <c r="AA89" s="128" t="n"/>
      <c r="AB89" s="128" t="n"/>
      <c r="AC89" s="117">
        <f>IF(OR(A89="",AA89=0),"",MAX(AA89-AB89,0)/AA89)</f>
        <v/>
      </c>
      <c r="AD89" s="128" t="n"/>
      <c r="AE89" s="128" t="n"/>
      <c r="AF89" s="117">
        <f>IF(OR(A89="",AD89=0),"",MAX(AD89-AE89,0)/AD89)</f>
        <v/>
      </c>
      <c r="AG89" s="54">
        <f>IF(A89="",0,(B89*40)+(C89*40))</f>
        <v/>
      </c>
      <c r="AH89" s="54">
        <f>IF(A89="",0,(B89*100)+(C89*0))</f>
        <v/>
      </c>
      <c r="AI89" s="54">
        <f>IF(A89="",0,(B89*10)+(C89*0))</f>
        <v/>
      </c>
      <c r="AJ89" s="54">
        <f>IF(A89="",0,(B89*50)+(C89*0))</f>
        <v/>
      </c>
      <c r="AK89" s="54">
        <f>IF(A89="",0,(B89*20)+(C89*0))</f>
        <v/>
      </c>
      <c r="AL89" s="54">
        <f>IF(A89="",0,(B89*60)+(C89*0))</f>
        <v/>
      </c>
      <c r="AM89" s="54">
        <f>IF(A89="",0,(B89*4)+(C89*4))</f>
        <v/>
      </c>
      <c r="AN89" s="54">
        <f>IF(A89="",0,(B89*4)+(C89*4))</f>
        <v/>
      </c>
      <c r="AO89" s="54">
        <f>IF(A89="",0,(B89*6)+(C89*0))</f>
        <v/>
      </c>
      <c r="AP89" s="54">
        <f>IF(A89="",0,(B89*4)+(C89*10))</f>
        <v/>
      </c>
      <c r="AQ89" s="54">
        <f>IF(A89="",0,(B89*65)+(C89*80))</f>
        <v/>
      </c>
      <c r="AR89" s="54">
        <f>IF(A89="",0,(B89*0)+(C89*5))</f>
        <v/>
      </c>
      <c r="AS89" s="54">
        <f>IF(A89="",0,(B89*0)+(C89*50))</f>
        <v/>
      </c>
      <c r="AT89" s="54">
        <f>IF(A89="",0,(G89*25.51+N89*30+S89*7.5)/1000)</f>
        <v/>
      </c>
      <c r="AU89" s="54">
        <f>IF(A89="",0,(H89*21.74+V89*7.5)/1000)</f>
        <v/>
      </c>
      <c r="AV89" s="54">
        <f>IF(A89="",0,(G89*0.71)/1000)</f>
        <v/>
      </c>
      <c r="AW89" s="54">
        <f>IF(A89="",0,(AB89*5)/1000)</f>
        <v/>
      </c>
      <c r="AX89" s="54">
        <f>IF(A89="",0,(Y89*7)/1000)</f>
        <v/>
      </c>
      <c r="AY89" s="54">
        <f>IF(A89="",0,(AE89*7)/1000)</f>
        <v/>
      </c>
      <c r="AZ89" s="54">
        <f>IF(A89="",0,ROUNDUP((H89+N89)/115,0)*1.5)</f>
        <v/>
      </c>
      <c r="BA89" s="54">
        <f>IF(A89="",0,ROUNDUP((H89+N89)/115,0)*20)</f>
        <v/>
      </c>
      <c r="BB89" s="54">
        <f>IF(A89="",0,ROUNDUP((H89+N89)/115,0)*80)</f>
        <v/>
      </c>
      <c r="BC89" s="54">
        <f>IF(A89="",0,ROUNDUP((H89+N89)/115,0)*5)</f>
        <v/>
      </c>
      <c r="BD89" s="54">
        <f>IF(A89="",0,ROUNDUP((H89+N89)/115,0)*2.5)</f>
        <v/>
      </c>
    </row>
    <row r="90">
      <c r="A90" s="127" t="n"/>
      <c r="B90" s="128" t="n"/>
      <c r="C90" s="128" t="n"/>
      <c r="D90" s="116">
        <f>IF(A90="","",B90*1508)</f>
        <v/>
      </c>
      <c r="E90" s="128" t="n"/>
      <c r="F90" s="128" t="n"/>
      <c r="G90" s="128" t="n"/>
      <c r="H90" s="128" t="n"/>
      <c r="I90" s="116">
        <f>IF(A90="","",MAX((E90/2)-G90,0))</f>
        <v/>
      </c>
      <c r="J90" s="117">
        <f>IF(OR(A90="",E90=0),"",I90/(E90/2))</f>
        <v/>
      </c>
      <c r="K90" s="116">
        <f>IF(A90="","",MAX((F90/2)-H90,0))</f>
        <v/>
      </c>
      <c r="L90" s="117">
        <f>IF(OR(A90="",F90=0),"",K90/(F90/2))</f>
        <v/>
      </c>
      <c r="M90" s="128" t="n"/>
      <c r="N90" s="128" t="n"/>
      <c r="O90" s="116">
        <f>IF(A90="","",MAX((M90/3)-N90,0))</f>
        <v/>
      </c>
      <c r="P90" s="117">
        <f>IF(OR(A90="",M90=0),"",O90/(M90/3))</f>
        <v/>
      </c>
      <c r="Q90" s="116">
        <f>IF(A90="","",C90*1508)</f>
        <v/>
      </c>
      <c r="R90" s="128" t="n"/>
      <c r="S90" s="128" t="n"/>
      <c r="T90" s="117">
        <f>IF(OR(A90="",R90=0),"",MAX(R90-S90,0)/R90)</f>
        <v/>
      </c>
      <c r="U90" s="128" t="n"/>
      <c r="V90" s="128" t="n"/>
      <c r="W90" s="117">
        <f>IF(OR(A90="",U90=0),"",MAX(U90-V90,0)/U90)</f>
        <v/>
      </c>
      <c r="X90" s="128" t="n"/>
      <c r="Y90" s="128" t="n"/>
      <c r="Z90" s="117">
        <f>IF(OR(A90="",X90=0),"",MAX(X90-Y90,0)/X90)</f>
        <v/>
      </c>
      <c r="AA90" s="128" t="n"/>
      <c r="AB90" s="128" t="n"/>
      <c r="AC90" s="117">
        <f>IF(OR(A90="",AA90=0),"",MAX(AA90-AB90,0)/AA90)</f>
        <v/>
      </c>
      <c r="AD90" s="128" t="n"/>
      <c r="AE90" s="128" t="n"/>
      <c r="AF90" s="117">
        <f>IF(OR(A90="",AD90=0),"",MAX(AD90-AE90,0)/AD90)</f>
        <v/>
      </c>
      <c r="AG90" s="54">
        <f>IF(A90="",0,(B90*40)+(C90*40))</f>
        <v/>
      </c>
      <c r="AH90" s="54">
        <f>IF(A90="",0,(B90*100)+(C90*0))</f>
        <v/>
      </c>
      <c r="AI90" s="54">
        <f>IF(A90="",0,(B90*10)+(C90*0))</f>
        <v/>
      </c>
      <c r="AJ90" s="54">
        <f>IF(A90="",0,(B90*50)+(C90*0))</f>
        <v/>
      </c>
      <c r="AK90" s="54">
        <f>IF(A90="",0,(B90*20)+(C90*0))</f>
        <v/>
      </c>
      <c r="AL90" s="54">
        <f>IF(A90="",0,(B90*60)+(C90*0))</f>
        <v/>
      </c>
      <c r="AM90" s="54">
        <f>IF(A90="",0,(B90*4)+(C90*4))</f>
        <v/>
      </c>
      <c r="AN90" s="54">
        <f>IF(A90="",0,(B90*4)+(C90*4))</f>
        <v/>
      </c>
      <c r="AO90" s="54">
        <f>IF(A90="",0,(B90*6)+(C90*0))</f>
        <v/>
      </c>
      <c r="AP90" s="54">
        <f>IF(A90="",0,(B90*4)+(C90*10))</f>
        <v/>
      </c>
      <c r="AQ90" s="54">
        <f>IF(A90="",0,(B90*65)+(C90*80))</f>
        <v/>
      </c>
      <c r="AR90" s="54">
        <f>IF(A90="",0,(B90*0)+(C90*5))</f>
        <v/>
      </c>
      <c r="AS90" s="54">
        <f>IF(A90="",0,(B90*0)+(C90*50))</f>
        <v/>
      </c>
      <c r="AT90" s="54">
        <f>IF(A90="",0,(G90*25.51+N90*30+S90*7.5)/1000)</f>
        <v/>
      </c>
      <c r="AU90" s="54">
        <f>IF(A90="",0,(H90*21.74+V90*7.5)/1000)</f>
        <v/>
      </c>
      <c r="AV90" s="54">
        <f>IF(A90="",0,(G90*0.71)/1000)</f>
        <v/>
      </c>
      <c r="AW90" s="54">
        <f>IF(A90="",0,(AB90*5)/1000)</f>
        <v/>
      </c>
      <c r="AX90" s="54">
        <f>IF(A90="",0,(Y90*7)/1000)</f>
        <v/>
      </c>
      <c r="AY90" s="54">
        <f>IF(A90="",0,(AE90*7)/1000)</f>
        <v/>
      </c>
      <c r="AZ90" s="54">
        <f>IF(A90="",0,ROUNDUP((H90+N90)/115,0)*1.5)</f>
        <v/>
      </c>
      <c r="BA90" s="54">
        <f>IF(A90="",0,ROUNDUP((H90+N90)/115,0)*20)</f>
        <v/>
      </c>
      <c r="BB90" s="54">
        <f>IF(A90="",0,ROUNDUP((H90+N90)/115,0)*80)</f>
        <v/>
      </c>
      <c r="BC90" s="54">
        <f>IF(A90="",0,ROUNDUP((H90+N90)/115,0)*5)</f>
        <v/>
      </c>
      <c r="BD90" s="54">
        <f>IF(A90="",0,ROUNDUP((H90+N90)/115,0)*2.5)</f>
        <v/>
      </c>
    </row>
    <row r="91">
      <c r="A91" s="127" t="n"/>
      <c r="B91" s="128" t="n"/>
      <c r="C91" s="128" t="n"/>
      <c r="D91" s="116">
        <f>IF(A91="","",B91*1508)</f>
        <v/>
      </c>
      <c r="E91" s="128" t="n"/>
      <c r="F91" s="128" t="n"/>
      <c r="G91" s="128" t="n"/>
      <c r="H91" s="128" t="n"/>
      <c r="I91" s="116">
        <f>IF(A91="","",MAX((E91/2)-G91,0))</f>
        <v/>
      </c>
      <c r="J91" s="117">
        <f>IF(OR(A91="",E91=0),"",I91/(E91/2))</f>
        <v/>
      </c>
      <c r="K91" s="116">
        <f>IF(A91="","",MAX((F91/2)-H91,0))</f>
        <v/>
      </c>
      <c r="L91" s="117">
        <f>IF(OR(A91="",F91=0),"",K91/(F91/2))</f>
        <v/>
      </c>
      <c r="M91" s="128" t="n"/>
      <c r="N91" s="128" t="n"/>
      <c r="O91" s="116">
        <f>IF(A91="","",MAX((M91/3)-N91,0))</f>
        <v/>
      </c>
      <c r="P91" s="117">
        <f>IF(OR(A91="",M91=0),"",O91/(M91/3))</f>
        <v/>
      </c>
      <c r="Q91" s="116">
        <f>IF(A91="","",C91*1508)</f>
        <v/>
      </c>
      <c r="R91" s="128" t="n"/>
      <c r="S91" s="128" t="n"/>
      <c r="T91" s="117">
        <f>IF(OR(A91="",R91=0),"",MAX(R91-S91,0)/R91)</f>
        <v/>
      </c>
      <c r="U91" s="128" t="n"/>
      <c r="V91" s="128" t="n"/>
      <c r="W91" s="117">
        <f>IF(OR(A91="",U91=0),"",MAX(U91-V91,0)/U91)</f>
        <v/>
      </c>
      <c r="X91" s="128" t="n"/>
      <c r="Y91" s="128" t="n"/>
      <c r="Z91" s="117">
        <f>IF(OR(A91="",X91=0),"",MAX(X91-Y91,0)/X91)</f>
        <v/>
      </c>
      <c r="AA91" s="128" t="n"/>
      <c r="AB91" s="128" t="n"/>
      <c r="AC91" s="117">
        <f>IF(OR(A91="",AA91=0),"",MAX(AA91-AB91,0)/AA91)</f>
        <v/>
      </c>
      <c r="AD91" s="128" t="n"/>
      <c r="AE91" s="128" t="n"/>
      <c r="AF91" s="117">
        <f>IF(OR(A91="",AD91=0),"",MAX(AD91-AE91,0)/AD91)</f>
        <v/>
      </c>
      <c r="AG91" s="54">
        <f>IF(A91="",0,(B91*40)+(C91*40))</f>
        <v/>
      </c>
      <c r="AH91" s="54">
        <f>IF(A91="",0,(B91*100)+(C91*0))</f>
        <v/>
      </c>
      <c r="AI91" s="54">
        <f>IF(A91="",0,(B91*10)+(C91*0))</f>
        <v/>
      </c>
      <c r="AJ91" s="54">
        <f>IF(A91="",0,(B91*50)+(C91*0))</f>
        <v/>
      </c>
      <c r="AK91" s="54">
        <f>IF(A91="",0,(B91*20)+(C91*0))</f>
        <v/>
      </c>
      <c r="AL91" s="54">
        <f>IF(A91="",0,(B91*60)+(C91*0))</f>
        <v/>
      </c>
      <c r="AM91" s="54">
        <f>IF(A91="",0,(B91*4)+(C91*4))</f>
        <v/>
      </c>
      <c r="AN91" s="54">
        <f>IF(A91="",0,(B91*4)+(C91*4))</f>
        <v/>
      </c>
      <c r="AO91" s="54">
        <f>IF(A91="",0,(B91*6)+(C91*0))</f>
        <v/>
      </c>
      <c r="AP91" s="54">
        <f>IF(A91="",0,(B91*4)+(C91*10))</f>
        <v/>
      </c>
      <c r="AQ91" s="54">
        <f>IF(A91="",0,(B91*65)+(C91*80))</f>
        <v/>
      </c>
      <c r="AR91" s="54">
        <f>IF(A91="",0,(B91*0)+(C91*5))</f>
        <v/>
      </c>
      <c r="AS91" s="54">
        <f>IF(A91="",0,(B91*0)+(C91*50))</f>
        <v/>
      </c>
      <c r="AT91" s="54">
        <f>IF(A91="",0,(G91*25.51+N91*30+S91*7.5)/1000)</f>
        <v/>
      </c>
      <c r="AU91" s="54">
        <f>IF(A91="",0,(H91*21.74+V91*7.5)/1000)</f>
        <v/>
      </c>
      <c r="AV91" s="54">
        <f>IF(A91="",0,(G91*0.71)/1000)</f>
        <v/>
      </c>
      <c r="AW91" s="54">
        <f>IF(A91="",0,(AB91*5)/1000)</f>
        <v/>
      </c>
      <c r="AX91" s="54">
        <f>IF(A91="",0,(Y91*7)/1000)</f>
        <v/>
      </c>
      <c r="AY91" s="54">
        <f>IF(A91="",0,(AE91*7)/1000)</f>
        <v/>
      </c>
      <c r="AZ91" s="54">
        <f>IF(A91="",0,ROUNDUP((H91+N91)/115,0)*1.5)</f>
        <v/>
      </c>
      <c r="BA91" s="54">
        <f>IF(A91="",0,ROUNDUP((H91+N91)/115,0)*20)</f>
        <v/>
      </c>
      <c r="BB91" s="54">
        <f>IF(A91="",0,ROUNDUP((H91+N91)/115,0)*80)</f>
        <v/>
      </c>
      <c r="BC91" s="54">
        <f>IF(A91="",0,ROUNDUP((H91+N91)/115,0)*5)</f>
        <v/>
      </c>
      <c r="BD91" s="54">
        <f>IF(A91="",0,ROUNDUP((H91+N91)/115,0)*2.5)</f>
        <v/>
      </c>
    </row>
    <row r="92">
      <c r="A92" s="127" t="n"/>
      <c r="B92" s="128" t="n"/>
      <c r="C92" s="128" t="n"/>
      <c r="D92" s="116">
        <f>IF(A92="","",B92*1508)</f>
        <v/>
      </c>
      <c r="E92" s="128" t="n"/>
      <c r="F92" s="128" t="n"/>
      <c r="G92" s="128" t="n"/>
      <c r="H92" s="128" t="n"/>
      <c r="I92" s="116">
        <f>IF(A92="","",MAX((E92/2)-G92,0))</f>
        <v/>
      </c>
      <c r="J92" s="117">
        <f>IF(OR(A92="",E92=0),"",I92/(E92/2))</f>
        <v/>
      </c>
      <c r="K92" s="116">
        <f>IF(A92="","",MAX((F92/2)-H92,0))</f>
        <v/>
      </c>
      <c r="L92" s="117">
        <f>IF(OR(A92="",F92=0),"",K92/(F92/2))</f>
        <v/>
      </c>
      <c r="M92" s="128" t="n"/>
      <c r="N92" s="128" t="n"/>
      <c r="O92" s="116">
        <f>IF(A92="","",MAX((M92/3)-N92,0))</f>
        <v/>
      </c>
      <c r="P92" s="117">
        <f>IF(OR(A92="",M92=0),"",O92/(M92/3))</f>
        <v/>
      </c>
      <c r="Q92" s="116">
        <f>IF(A92="","",C92*1508)</f>
        <v/>
      </c>
      <c r="R92" s="128" t="n"/>
      <c r="S92" s="128" t="n"/>
      <c r="T92" s="117">
        <f>IF(OR(A92="",R92=0),"",MAX(R92-S92,0)/R92)</f>
        <v/>
      </c>
      <c r="U92" s="128" t="n"/>
      <c r="V92" s="128" t="n"/>
      <c r="W92" s="117">
        <f>IF(OR(A92="",U92=0),"",MAX(U92-V92,0)/U92)</f>
        <v/>
      </c>
      <c r="X92" s="128" t="n"/>
      <c r="Y92" s="128" t="n"/>
      <c r="Z92" s="117">
        <f>IF(OR(A92="",X92=0),"",MAX(X92-Y92,0)/X92)</f>
        <v/>
      </c>
      <c r="AA92" s="128" t="n"/>
      <c r="AB92" s="128" t="n"/>
      <c r="AC92" s="117">
        <f>IF(OR(A92="",AA92=0),"",MAX(AA92-AB92,0)/AA92)</f>
        <v/>
      </c>
      <c r="AD92" s="128" t="n"/>
      <c r="AE92" s="128" t="n"/>
      <c r="AF92" s="117">
        <f>IF(OR(A92="",AD92=0),"",MAX(AD92-AE92,0)/AD92)</f>
        <v/>
      </c>
      <c r="AG92" s="54">
        <f>IF(A92="",0,(B92*40)+(C92*40))</f>
        <v/>
      </c>
      <c r="AH92" s="54">
        <f>IF(A92="",0,(B92*100)+(C92*0))</f>
        <v/>
      </c>
      <c r="AI92" s="54">
        <f>IF(A92="",0,(B92*10)+(C92*0))</f>
        <v/>
      </c>
      <c r="AJ92" s="54">
        <f>IF(A92="",0,(B92*50)+(C92*0))</f>
        <v/>
      </c>
      <c r="AK92" s="54">
        <f>IF(A92="",0,(B92*20)+(C92*0))</f>
        <v/>
      </c>
      <c r="AL92" s="54">
        <f>IF(A92="",0,(B92*60)+(C92*0))</f>
        <v/>
      </c>
      <c r="AM92" s="54">
        <f>IF(A92="",0,(B92*4)+(C92*4))</f>
        <v/>
      </c>
      <c r="AN92" s="54">
        <f>IF(A92="",0,(B92*4)+(C92*4))</f>
        <v/>
      </c>
      <c r="AO92" s="54">
        <f>IF(A92="",0,(B92*6)+(C92*0))</f>
        <v/>
      </c>
      <c r="AP92" s="54">
        <f>IF(A92="",0,(B92*4)+(C92*10))</f>
        <v/>
      </c>
      <c r="AQ92" s="54">
        <f>IF(A92="",0,(B92*65)+(C92*80))</f>
        <v/>
      </c>
      <c r="AR92" s="54">
        <f>IF(A92="",0,(B92*0)+(C92*5))</f>
        <v/>
      </c>
      <c r="AS92" s="54">
        <f>IF(A92="",0,(B92*0)+(C92*50))</f>
        <v/>
      </c>
      <c r="AT92" s="54">
        <f>IF(A92="",0,(G92*25.51+N92*30+S92*7.5)/1000)</f>
        <v/>
      </c>
      <c r="AU92" s="54">
        <f>IF(A92="",0,(H92*21.74+V92*7.5)/1000)</f>
        <v/>
      </c>
      <c r="AV92" s="54">
        <f>IF(A92="",0,(G92*0.71)/1000)</f>
        <v/>
      </c>
      <c r="AW92" s="54">
        <f>IF(A92="",0,(AB92*5)/1000)</f>
        <v/>
      </c>
      <c r="AX92" s="54">
        <f>IF(A92="",0,(Y92*7)/1000)</f>
        <v/>
      </c>
      <c r="AY92" s="54">
        <f>IF(A92="",0,(AE92*7)/1000)</f>
        <v/>
      </c>
      <c r="AZ92" s="54">
        <f>IF(A92="",0,ROUNDUP((H92+N92)/115,0)*1.5)</f>
        <v/>
      </c>
      <c r="BA92" s="54">
        <f>IF(A92="",0,ROUNDUP((H92+N92)/115,0)*20)</f>
        <v/>
      </c>
      <c r="BB92" s="54">
        <f>IF(A92="",0,ROUNDUP((H92+N92)/115,0)*80)</f>
        <v/>
      </c>
      <c r="BC92" s="54">
        <f>IF(A92="",0,ROUNDUP((H92+N92)/115,0)*5)</f>
        <v/>
      </c>
      <c r="BD92" s="54">
        <f>IF(A92="",0,ROUNDUP((H92+N92)/115,0)*2.5)</f>
        <v/>
      </c>
    </row>
    <row r="93">
      <c r="A93" s="127" t="n"/>
      <c r="B93" s="128" t="n"/>
      <c r="C93" s="128" t="n"/>
      <c r="D93" s="116">
        <f>IF(A93="","",B93*1508)</f>
        <v/>
      </c>
      <c r="E93" s="128" t="n"/>
      <c r="F93" s="128" t="n"/>
      <c r="G93" s="128" t="n"/>
      <c r="H93" s="128" t="n"/>
      <c r="I93" s="116">
        <f>IF(A93="","",MAX((E93/2)-G93,0))</f>
        <v/>
      </c>
      <c r="J93" s="117">
        <f>IF(OR(A93="",E93=0),"",I93/(E93/2))</f>
        <v/>
      </c>
      <c r="K93" s="116">
        <f>IF(A93="","",MAX((F93/2)-H93,0))</f>
        <v/>
      </c>
      <c r="L93" s="117">
        <f>IF(OR(A93="",F93=0),"",K93/(F93/2))</f>
        <v/>
      </c>
      <c r="M93" s="128" t="n"/>
      <c r="N93" s="128" t="n"/>
      <c r="O93" s="116">
        <f>IF(A93="","",MAX((M93/3)-N93,0))</f>
        <v/>
      </c>
      <c r="P93" s="117">
        <f>IF(OR(A93="",M93=0),"",O93/(M93/3))</f>
        <v/>
      </c>
      <c r="Q93" s="116">
        <f>IF(A93="","",C93*1508)</f>
        <v/>
      </c>
      <c r="R93" s="128" t="n"/>
      <c r="S93" s="128" t="n"/>
      <c r="T93" s="117">
        <f>IF(OR(A93="",R93=0),"",MAX(R93-S93,0)/R93)</f>
        <v/>
      </c>
      <c r="U93" s="128" t="n"/>
      <c r="V93" s="128" t="n"/>
      <c r="W93" s="117">
        <f>IF(OR(A93="",U93=0),"",MAX(U93-V93,0)/U93)</f>
        <v/>
      </c>
      <c r="X93" s="128" t="n"/>
      <c r="Y93" s="128" t="n"/>
      <c r="Z93" s="117">
        <f>IF(OR(A93="",X93=0),"",MAX(X93-Y93,0)/X93)</f>
        <v/>
      </c>
      <c r="AA93" s="128" t="n"/>
      <c r="AB93" s="128" t="n"/>
      <c r="AC93" s="117">
        <f>IF(OR(A93="",AA93=0),"",MAX(AA93-AB93,0)/AA93)</f>
        <v/>
      </c>
      <c r="AD93" s="128" t="n"/>
      <c r="AE93" s="128" t="n"/>
      <c r="AF93" s="117">
        <f>IF(OR(A93="",AD93=0),"",MAX(AD93-AE93,0)/AD93)</f>
        <v/>
      </c>
      <c r="AG93" s="54">
        <f>IF(A93="",0,(B93*40)+(C93*40))</f>
        <v/>
      </c>
      <c r="AH93" s="54">
        <f>IF(A93="",0,(B93*100)+(C93*0))</f>
        <v/>
      </c>
      <c r="AI93" s="54">
        <f>IF(A93="",0,(B93*10)+(C93*0))</f>
        <v/>
      </c>
      <c r="AJ93" s="54">
        <f>IF(A93="",0,(B93*50)+(C93*0))</f>
        <v/>
      </c>
      <c r="AK93" s="54">
        <f>IF(A93="",0,(B93*20)+(C93*0))</f>
        <v/>
      </c>
      <c r="AL93" s="54">
        <f>IF(A93="",0,(B93*60)+(C93*0))</f>
        <v/>
      </c>
      <c r="AM93" s="54">
        <f>IF(A93="",0,(B93*4)+(C93*4))</f>
        <v/>
      </c>
      <c r="AN93" s="54">
        <f>IF(A93="",0,(B93*4)+(C93*4))</f>
        <v/>
      </c>
      <c r="AO93" s="54">
        <f>IF(A93="",0,(B93*6)+(C93*0))</f>
        <v/>
      </c>
      <c r="AP93" s="54">
        <f>IF(A93="",0,(B93*4)+(C93*10))</f>
        <v/>
      </c>
      <c r="AQ93" s="54">
        <f>IF(A93="",0,(B93*65)+(C93*80))</f>
        <v/>
      </c>
      <c r="AR93" s="54">
        <f>IF(A93="",0,(B93*0)+(C93*5))</f>
        <v/>
      </c>
      <c r="AS93" s="54">
        <f>IF(A93="",0,(B93*0)+(C93*50))</f>
        <v/>
      </c>
      <c r="AT93" s="54">
        <f>IF(A93="",0,(G93*25.51+N93*30+S93*7.5)/1000)</f>
        <v/>
      </c>
      <c r="AU93" s="54">
        <f>IF(A93="",0,(H93*21.74+V93*7.5)/1000)</f>
        <v/>
      </c>
      <c r="AV93" s="54">
        <f>IF(A93="",0,(G93*0.71)/1000)</f>
        <v/>
      </c>
      <c r="AW93" s="54">
        <f>IF(A93="",0,(AB93*5)/1000)</f>
        <v/>
      </c>
      <c r="AX93" s="54">
        <f>IF(A93="",0,(Y93*7)/1000)</f>
        <v/>
      </c>
      <c r="AY93" s="54">
        <f>IF(A93="",0,(AE93*7)/1000)</f>
        <v/>
      </c>
      <c r="AZ93" s="54">
        <f>IF(A93="",0,ROUNDUP((H93+N93)/115,0)*1.5)</f>
        <v/>
      </c>
      <c r="BA93" s="54">
        <f>IF(A93="",0,ROUNDUP((H93+N93)/115,0)*20)</f>
        <v/>
      </c>
      <c r="BB93" s="54">
        <f>IF(A93="",0,ROUNDUP((H93+N93)/115,0)*80)</f>
        <v/>
      </c>
      <c r="BC93" s="54">
        <f>IF(A93="",0,ROUNDUP((H93+N93)/115,0)*5)</f>
        <v/>
      </c>
      <c r="BD93" s="54">
        <f>IF(A93="",0,ROUNDUP((H93+N93)/115,0)*2.5)</f>
        <v/>
      </c>
    </row>
    <row r="94">
      <c r="A94" s="127" t="n"/>
      <c r="B94" s="128" t="n"/>
      <c r="C94" s="128" t="n"/>
      <c r="D94" s="116">
        <f>IF(A94="","",B94*1508)</f>
        <v/>
      </c>
      <c r="E94" s="128" t="n"/>
      <c r="F94" s="128" t="n"/>
      <c r="G94" s="128" t="n"/>
      <c r="H94" s="128" t="n"/>
      <c r="I94" s="116">
        <f>IF(A94="","",MAX((E94/2)-G94,0))</f>
        <v/>
      </c>
      <c r="J94" s="117">
        <f>IF(OR(A94="",E94=0),"",I94/(E94/2))</f>
        <v/>
      </c>
      <c r="K94" s="116">
        <f>IF(A94="","",MAX((F94/2)-H94,0))</f>
        <v/>
      </c>
      <c r="L94" s="117">
        <f>IF(OR(A94="",F94=0),"",K94/(F94/2))</f>
        <v/>
      </c>
      <c r="M94" s="128" t="n"/>
      <c r="N94" s="128" t="n"/>
      <c r="O94" s="116">
        <f>IF(A94="","",MAX((M94/3)-N94,0))</f>
        <v/>
      </c>
      <c r="P94" s="117">
        <f>IF(OR(A94="",M94=0),"",O94/(M94/3))</f>
        <v/>
      </c>
      <c r="Q94" s="116">
        <f>IF(A94="","",C94*1508)</f>
        <v/>
      </c>
      <c r="R94" s="128" t="n"/>
      <c r="S94" s="128" t="n"/>
      <c r="T94" s="117">
        <f>IF(OR(A94="",R94=0),"",MAX(R94-S94,0)/R94)</f>
        <v/>
      </c>
      <c r="U94" s="128" t="n"/>
      <c r="V94" s="128" t="n"/>
      <c r="W94" s="117">
        <f>IF(OR(A94="",U94=0),"",MAX(U94-V94,0)/U94)</f>
        <v/>
      </c>
      <c r="X94" s="128" t="n"/>
      <c r="Y94" s="128" t="n"/>
      <c r="Z94" s="117">
        <f>IF(OR(A94="",X94=0),"",MAX(X94-Y94,0)/X94)</f>
        <v/>
      </c>
      <c r="AA94" s="128" t="n"/>
      <c r="AB94" s="128" t="n"/>
      <c r="AC94" s="117">
        <f>IF(OR(A94="",AA94=0),"",MAX(AA94-AB94,0)/AA94)</f>
        <v/>
      </c>
      <c r="AD94" s="128" t="n"/>
      <c r="AE94" s="128" t="n"/>
      <c r="AF94" s="117">
        <f>IF(OR(A94="",AD94=0),"",MAX(AD94-AE94,0)/AD94)</f>
        <v/>
      </c>
      <c r="AG94" s="54">
        <f>IF(A94="",0,(B94*40)+(C94*40))</f>
        <v/>
      </c>
      <c r="AH94" s="54">
        <f>IF(A94="",0,(B94*100)+(C94*0))</f>
        <v/>
      </c>
      <c r="AI94" s="54">
        <f>IF(A94="",0,(B94*10)+(C94*0))</f>
        <v/>
      </c>
      <c r="AJ94" s="54">
        <f>IF(A94="",0,(B94*50)+(C94*0))</f>
        <v/>
      </c>
      <c r="AK94" s="54">
        <f>IF(A94="",0,(B94*20)+(C94*0))</f>
        <v/>
      </c>
      <c r="AL94" s="54">
        <f>IF(A94="",0,(B94*60)+(C94*0))</f>
        <v/>
      </c>
      <c r="AM94" s="54">
        <f>IF(A94="",0,(B94*4)+(C94*4))</f>
        <v/>
      </c>
      <c r="AN94" s="54">
        <f>IF(A94="",0,(B94*4)+(C94*4))</f>
        <v/>
      </c>
      <c r="AO94" s="54">
        <f>IF(A94="",0,(B94*6)+(C94*0))</f>
        <v/>
      </c>
      <c r="AP94" s="54">
        <f>IF(A94="",0,(B94*4)+(C94*10))</f>
        <v/>
      </c>
      <c r="AQ94" s="54">
        <f>IF(A94="",0,(B94*65)+(C94*80))</f>
        <v/>
      </c>
      <c r="AR94" s="54">
        <f>IF(A94="",0,(B94*0)+(C94*5))</f>
        <v/>
      </c>
      <c r="AS94" s="54">
        <f>IF(A94="",0,(B94*0)+(C94*50))</f>
        <v/>
      </c>
      <c r="AT94" s="54">
        <f>IF(A94="",0,(G94*25.51+N94*30+S94*7.5)/1000)</f>
        <v/>
      </c>
      <c r="AU94" s="54">
        <f>IF(A94="",0,(H94*21.74+V94*7.5)/1000)</f>
        <v/>
      </c>
      <c r="AV94" s="54">
        <f>IF(A94="",0,(G94*0.71)/1000)</f>
        <v/>
      </c>
      <c r="AW94" s="54">
        <f>IF(A94="",0,(AB94*5)/1000)</f>
        <v/>
      </c>
      <c r="AX94" s="54">
        <f>IF(A94="",0,(Y94*7)/1000)</f>
        <v/>
      </c>
      <c r="AY94" s="54">
        <f>IF(A94="",0,(AE94*7)/1000)</f>
        <v/>
      </c>
      <c r="AZ94" s="54">
        <f>IF(A94="",0,ROUNDUP((H94+N94)/115,0)*1.5)</f>
        <v/>
      </c>
      <c r="BA94" s="54">
        <f>IF(A94="",0,ROUNDUP((H94+N94)/115,0)*20)</f>
        <v/>
      </c>
      <c r="BB94" s="54">
        <f>IF(A94="",0,ROUNDUP((H94+N94)/115,0)*80)</f>
        <v/>
      </c>
      <c r="BC94" s="54">
        <f>IF(A94="",0,ROUNDUP((H94+N94)/115,0)*5)</f>
        <v/>
      </c>
      <c r="BD94" s="54">
        <f>IF(A94="",0,ROUNDUP((H94+N94)/115,0)*2.5)</f>
        <v/>
      </c>
    </row>
    <row r="95">
      <c r="A95" s="127" t="n"/>
      <c r="B95" s="128" t="n"/>
      <c r="C95" s="128" t="n"/>
      <c r="D95" s="116">
        <f>IF(A95="","",B95*1508)</f>
        <v/>
      </c>
      <c r="E95" s="128" t="n"/>
      <c r="F95" s="128" t="n"/>
      <c r="G95" s="128" t="n"/>
      <c r="H95" s="128" t="n"/>
      <c r="I95" s="116">
        <f>IF(A95="","",MAX((E95/2)-G95,0))</f>
        <v/>
      </c>
      <c r="J95" s="117">
        <f>IF(OR(A95="",E95=0),"",I95/(E95/2))</f>
        <v/>
      </c>
      <c r="K95" s="116">
        <f>IF(A95="","",MAX((F95/2)-H95,0))</f>
        <v/>
      </c>
      <c r="L95" s="117">
        <f>IF(OR(A95="",F95=0),"",K95/(F95/2))</f>
        <v/>
      </c>
      <c r="M95" s="128" t="n"/>
      <c r="N95" s="128" t="n"/>
      <c r="O95" s="116">
        <f>IF(A95="","",MAX((M95/3)-N95,0))</f>
        <v/>
      </c>
      <c r="P95" s="117">
        <f>IF(OR(A95="",M95=0),"",O95/(M95/3))</f>
        <v/>
      </c>
      <c r="Q95" s="116">
        <f>IF(A95="","",C95*1508)</f>
        <v/>
      </c>
      <c r="R95" s="128" t="n"/>
      <c r="S95" s="128" t="n"/>
      <c r="T95" s="117">
        <f>IF(OR(A95="",R95=0),"",MAX(R95-S95,0)/R95)</f>
        <v/>
      </c>
      <c r="U95" s="128" t="n"/>
      <c r="V95" s="128" t="n"/>
      <c r="W95" s="117">
        <f>IF(OR(A95="",U95=0),"",MAX(U95-V95,0)/U95)</f>
        <v/>
      </c>
      <c r="X95" s="128" t="n"/>
      <c r="Y95" s="128" t="n"/>
      <c r="Z95" s="117">
        <f>IF(OR(A95="",X95=0),"",MAX(X95-Y95,0)/X95)</f>
        <v/>
      </c>
      <c r="AA95" s="128" t="n"/>
      <c r="AB95" s="128" t="n"/>
      <c r="AC95" s="117">
        <f>IF(OR(A95="",AA95=0),"",MAX(AA95-AB95,0)/AA95)</f>
        <v/>
      </c>
      <c r="AD95" s="128" t="n"/>
      <c r="AE95" s="128" t="n"/>
      <c r="AF95" s="117">
        <f>IF(OR(A95="",AD95=0),"",MAX(AD95-AE95,0)/AD95)</f>
        <v/>
      </c>
      <c r="AG95" s="54">
        <f>IF(A95="",0,(B95*40)+(C95*40))</f>
        <v/>
      </c>
      <c r="AH95" s="54">
        <f>IF(A95="",0,(B95*100)+(C95*0))</f>
        <v/>
      </c>
      <c r="AI95" s="54">
        <f>IF(A95="",0,(B95*10)+(C95*0))</f>
        <v/>
      </c>
      <c r="AJ95" s="54">
        <f>IF(A95="",0,(B95*50)+(C95*0))</f>
        <v/>
      </c>
      <c r="AK95" s="54">
        <f>IF(A95="",0,(B95*20)+(C95*0))</f>
        <v/>
      </c>
      <c r="AL95" s="54">
        <f>IF(A95="",0,(B95*60)+(C95*0))</f>
        <v/>
      </c>
      <c r="AM95" s="54">
        <f>IF(A95="",0,(B95*4)+(C95*4))</f>
        <v/>
      </c>
      <c r="AN95" s="54">
        <f>IF(A95="",0,(B95*4)+(C95*4))</f>
        <v/>
      </c>
      <c r="AO95" s="54">
        <f>IF(A95="",0,(B95*6)+(C95*0))</f>
        <v/>
      </c>
      <c r="AP95" s="54">
        <f>IF(A95="",0,(B95*4)+(C95*10))</f>
        <v/>
      </c>
      <c r="AQ95" s="54">
        <f>IF(A95="",0,(B95*65)+(C95*80))</f>
        <v/>
      </c>
      <c r="AR95" s="54">
        <f>IF(A95="",0,(B95*0)+(C95*5))</f>
        <v/>
      </c>
      <c r="AS95" s="54">
        <f>IF(A95="",0,(B95*0)+(C95*50))</f>
        <v/>
      </c>
      <c r="AT95" s="54">
        <f>IF(A95="",0,(G95*25.51+N95*30+S95*7.5)/1000)</f>
        <v/>
      </c>
      <c r="AU95" s="54">
        <f>IF(A95="",0,(H95*21.74+V95*7.5)/1000)</f>
        <v/>
      </c>
      <c r="AV95" s="54">
        <f>IF(A95="",0,(G95*0.71)/1000)</f>
        <v/>
      </c>
      <c r="AW95" s="54">
        <f>IF(A95="",0,(AB95*5)/1000)</f>
        <v/>
      </c>
      <c r="AX95" s="54">
        <f>IF(A95="",0,(Y95*7)/1000)</f>
        <v/>
      </c>
      <c r="AY95" s="54">
        <f>IF(A95="",0,(AE95*7)/1000)</f>
        <v/>
      </c>
      <c r="AZ95" s="54">
        <f>IF(A95="",0,ROUNDUP((H95+N95)/115,0)*1.5)</f>
        <v/>
      </c>
      <c r="BA95" s="54">
        <f>IF(A95="",0,ROUNDUP((H95+N95)/115,0)*20)</f>
        <v/>
      </c>
      <c r="BB95" s="54">
        <f>IF(A95="",0,ROUNDUP((H95+N95)/115,0)*80)</f>
        <v/>
      </c>
      <c r="BC95" s="54">
        <f>IF(A95="",0,ROUNDUP((H95+N95)/115,0)*5)</f>
        <v/>
      </c>
      <c r="BD95" s="54">
        <f>IF(A95="",0,ROUNDUP((H95+N95)/115,0)*2.5)</f>
        <v/>
      </c>
    </row>
    <row r="96">
      <c r="A96" s="127" t="n"/>
      <c r="B96" s="128" t="n"/>
      <c r="C96" s="128" t="n"/>
      <c r="D96" s="116">
        <f>IF(A96="","",B96*1508)</f>
        <v/>
      </c>
      <c r="E96" s="128" t="n"/>
      <c r="F96" s="128" t="n"/>
      <c r="G96" s="128" t="n"/>
      <c r="H96" s="128" t="n"/>
      <c r="I96" s="116">
        <f>IF(A96="","",MAX((E96/2)-G96,0))</f>
        <v/>
      </c>
      <c r="J96" s="117">
        <f>IF(OR(A96="",E96=0),"",I96/(E96/2))</f>
        <v/>
      </c>
      <c r="K96" s="116">
        <f>IF(A96="","",MAX((F96/2)-H96,0))</f>
        <v/>
      </c>
      <c r="L96" s="117">
        <f>IF(OR(A96="",F96=0),"",K96/(F96/2))</f>
        <v/>
      </c>
      <c r="M96" s="128" t="n"/>
      <c r="N96" s="128" t="n"/>
      <c r="O96" s="116">
        <f>IF(A96="","",MAX((M96/3)-N96,0))</f>
        <v/>
      </c>
      <c r="P96" s="117">
        <f>IF(OR(A96="",M96=0),"",O96/(M96/3))</f>
        <v/>
      </c>
      <c r="Q96" s="116">
        <f>IF(A96="","",C96*1508)</f>
        <v/>
      </c>
      <c r="R96" s="128" t="n"/>
      <c r="S96" s="128" t="n"/>
      <c r="T96" s="117">
        <f>IF(OR(A96="",R96=0),"",MAX(R96-S96,0)/R96)</f>
        <v/>
      </c>
      <c r="U96" s="128" t="n"/>
      <c r="V96" s="128" t="n"/>
      <c r="W96" s="117">
        <f>IF(OR(A96="",U96=0),"",MAX(U96-V96,0)/U96)</f>
        <v/>
      </c>
      <c r="X96" s="128" t="n"/>
      <c r="Y96" s="128" t="n"/>
      <c r="Z96" s="117">
        <f>IF(OR(A96="",X96=0),"",MAX(X96-Y96,0)/X96)</f>
        <v/>
      </c>
      <c r="AA96" s="128" t="n"/>
      <c r="AB96" s="128" t="n"/>
      <c r="AC96" s="117">
        <f>IF(OR(A96="",AA96=0),"",MAX(AA96-AB96,0)/AA96)</f>
        <v/>
      </c>
      <c r="AD96" s="128" t="n"/>
      <c r="AE96" s="128" t="n"/>
      <c r="AF96" s="117">
        <f>IF(OR(A96="",AD96=0),"",MAX(AD96-AE96,0)/AD96)</f>
        <v/>
      </c>
      <c r="AG96" s="54">
        <f>IF(A96="",0,(B96*40)+(C96*40))</f>
        <v/>
      </c>
      <c r="AH96" s="54">
        <f>IF(A96="",0,(B96*100)+(C96*0))</f>
        <v/>
      </c>
      <c r="AI96" s="54">
        <f>IF(A96="",0,(B96*10)+(C96*0))</f>
        <v/>
      </c>
      <c r="AJ96" s="54">
        <f>IF(A96="",0,(B96*50)+(C96*0))</f>
        <v/>
      </c>
      <c r="AK96" s="54">
        <f>IF(A96="",0,(B96*20)+(C96*0))</f>
        <v/>
      </c>
      <c r="AL96" s="54">
        <f>IF(A96="",0,(B96*60)+(C96*0))</f>
        <v/>
      </c>
      <c r="AM96" s="54">
        <f>IF(A96="",0,(B96*4)+(C96*4))</f>
        <v/>
      </c>
      <c r="AN96" s="54">
        <f>IF(A96="",0,(B96*4)+(C96*4))</f>
        <v/>
      </c>
      <c r="AO96" s="54">
        <f>IF(A96="",0,(B96*6)+(C96*0))</f>
        <v/>
      </c>
      <c r="AP96" s="54">
        <f>IF(A96="",0,(B96*4)+(C96*10))</f>
        <v/>
      </c>
      <c r="AQ96" s="54">
        <f>IF(A96="",0,(B96*65)+(C96*80))</f>
        <v/>
      </c>
      <c r="AR96" s="54">
        <f>IF(A96="",0,(B96*0)+(C96*5))</f>
        <v/>
      </c>
      <c r="AS96" s="54">
        <f>IF(A96="",0,(B96*0)+(C96*50))</f>
        <v/>
      </c>
      <c r="AT96" s="54">
        <f>IF(A96="",0,(G96*25.51+N96*30+S96*7.5)/1000)</f>
        <v/>
      </c>
      <c r="AU96" s="54">
        <f>IF(A96="",0,(H96*21.74+V96*7.5)/1000)</f>
        <v/>
      </c>
      <c r="AV96" s="54">
        <f>IF(A96="",0,(G96*0.71)/1000)</f>
        <v/>
      </c>
      <c r="AW96" s="54">
        <f>IF(A96="",0,(AB96*5)/1000)</f>
        <v/>
      </c>
      <c r="AX96" s="54">
        <f>IF(A96="",0,(Y96*7)/1000)</f>
        <v/>
      </c>
      <c r="AY96" s="54">
        <f>IF(A96="",0,(AE96*7)/1000)</f>
        <v/>
      </c>
      <c r="AZ96" s="54">
        <f>IF(A96="",0,ROUNDUP((H96+N96)/115,0)*1.5)</f>
        <v/>
      </c>
      <c r="BA96" s="54">
        <f>IF(A96="",0,ROUNDUP((H96+N96)/115,0)*20)</f>
        <v/>
      </c>
      <c r="BB96" s="54">
        <f>IF(A96="",0,ROUNDUP((H96+N96)/115,0)*80)</f>
        <v/>
      </c>
      <c r="BC96" s="54">
        <f>IF(A96="",0,ROUNDUP((H96+N96)/115,0)*5)</f>
        <v/>
      </c>
      <c r="BD96" s="54">
        <f>IF(A96="",0,ROUNDUP((H96+N96)/115,0)*2.5)</f>
        <v/>
      </c>
    </row>
    <row r="97">
      <c r="A97" s="127" t="n"/>
      <c r="B97" s="128" t="n"/>
      <c r="C97" s="128" t="n"/>
      <c r="D97" s="116">
        <f>IF(A97="","",B97*1508)</f>
        <v/>
      </c>
      <c r="E97" s="128" t="n"/>
      <c r="F97" s="128" t="n"/>
      <c r="G97" s="128" t="n"/>
      <c r="H97" s="128" t="n"/>
      <c r="I97" s="116">
        <f>IF(A97="","",MAX((E97/2)-G97,0))</f>
        <v/>
      </c>
      <c r="J97" s="117">
        <f>IF(OR(A97="",E97=0),"",I97/(E97/2))</f>
        <v/>
      </c>
      <c r="K97" s="116">
        <f>IF(A97="","",MAX((F97/2)-H97,0))</f>
        <v/>
      </c>
      <c r="L97" s="117">
        <f>IF(OR(A97="",F97=0),"",K97/(F97/2))</f>
        <v/>
      </c>
      <c r="M97" s="128" t="n"/>
      <c r="N97" s="128" t="n"/>
      <c r="O97" s="116">
        <f>IF(A97="","",MAX((M97/3)-N97,0))</f>
        <v/>
      </c>
      <c r="P97" s="117">
        <f>IF(OR(A97="",M97=0),"",O97/(M97/3))</f>
        <v/>
      </c>
      <c r="Q97" s="116">
        <f>IF(A97="","",C97*1508)</f>
        <v/>
      </c>
      <c r="R97" s="128" t="n"/>
      <c r="S97" s="128" t="n"/>
      <c r="T97" s="117">
        <f>IF(OR(A97="",R97=0),"",MAX(R97-S97,0)/R97)</f>
        <v/>
      </c>
      <c r="U97" s="128" t="n"/>
      <c r="V97" s="128" t="n"/>
      <c r="W97" s="117">
        <f>IF(OR(A97="",U97=0),"",MAX(U97-V97,0)/U97)</f>
        <v/>
      </c>
      <c r="X97" s="128" t="n"/>
      <c r="Y97" s="128" t="n"/>
      <c r="Z97" s="117">
        <f>IF(OR(A97="",X97=0),"",MAX(X97-Y97,0)/X97)</f>
        <v/>
      </c>
      <c r="AA97" s="128" t="n"/>
      <c r="AB97" s="128" t="n"/>
      <c r="AC97" s="117">
        <f>IF(OR(A97="",AA97=0),"",MAX(AA97-AB97,0)/AA97)</f>
        <v/>
      </c>
      <c r="AD97" s="128" t="n"/>
      <c r="AE97" s="128" t="n"/>
      <c r="AF97" s="117">
        <f>IF(OR(A97="",AD97=0),"",MAX(AD97-AE97,0)/AD97)</f>
        <v/>
      </c>
      <c r="AG97" s="54">
        <f>IF(A97="",0,(B97*40)+(C97*40))</f>
        <v/>
      </c>
      <c r="AH97" s="54">
        <f>IF(A97="",0,(B97*100)+(C97*0))</f>
        <v/>
      </c>
      <c r="AI97" s="54">
        <f>IF(A97="",0,(B97*10)+(C97*0))</f>
        <v/>
      </c>
      <c r="AJ97" s="54">
        <f>IF(A97="",0,(B97*50)+(C97*0))</f>
        <v/>
      </c>
      <c r="AK97" s="54">
        <f>IF(A97="",0,(B97*20)+(C97*0))</f>
        <v/>
      </c>
      <c r="AL97" s="54">
        <f>IF(A97="",0,(B97*60)+(C97*0))</f>
        <v/>
      </c>
      <c r="AM97" s="54">
        <f>IF(A97="",0,(B97*4)+(C97*4))</f>
        <v/>
      </c>
      <c r="AN97" s="54">
        <f>IF(A97="",0,(B97*4)+(C97*4))</f>
        <v/>
      </c>
      <c r="AO97" s="54">
        <f>IF(A97="",0,(B97*6)+(C97*0))</f>
        <v/>
      </c>
      <c r="AP97" s="54">
        <f>IF(A97="",0,(B97*4)+(C97*10))</f>
        <v/>
      </c>
      <c r="AQ97" s="54">
        <f>IF(A97="",0,(B97*65)+(C97*80))</f>
        <v/>
      </c>
      <c r="AR97" s="54">
        <f>IF(A97="",0,(B97*0)+(C97*5))</f>
        <v/>
      </c>
      <c r="AS97" s="54">
        <f>IF(A97="",0,(B97*0)+(C97*50))</f>
        <v/>
      </c>
      <c r="AT97" s="54">
        <f>IF(A97="",0,(G97*25.51+N97*30+S97*7.5)/1000)</f>
        <v/>
      </c>
      <c r="AU97" s="54">
        <f>IF(A97="",0,(H97*21.74+V97*7.5)/1000)</f>
        <v/>
      </c>
      <c r="AV97" s="54">
        <f>IF(A97="",0,(G97*0.71)/1000)</f>
        <v/>
      </c>
      <c r="AW97" s="54">
        <f>IF(A97="",0,(AB97*5)/1000)</f>
        <v/>
      </c>
      <c r="AX97" s="54">
        <f>IF(A97="",0,(Y97*7)/1000)</f>
        <v/>
      </c>
      <c r="AY97" s="54">
        <f>IF(A97="",0,(AE97*7)/1000)</f>
        <v/>
      </c>
      <c r="AZ97" s="54">
        <f>IF(A97="",0,ROUNDUP((H97+N97)/115,0)*1.5)</f>
        <v/>
      </c>
      <c r="BA97" s="54">
        <f>IF(A97="",0,ROUNDUP((H97+N97)/115,0)*20)</f>
        <v/>
      </c>
      <c r="BB97" s="54">
        <f>IF(A97="",0,ROUNDUP((H97+N97)/115,0)*80)</f>
        <v/>
      </c>
      <c r="BC97" s="54">
        <f>IF(A97="",0,ROUNDUP((H97+N97)/115,0)*5)</f>
        <v/>
      </c>
      <c r="BD97" s="54">
        <f>IF(A97="",0,ROUNDUP((H97+N97)/115,0)*2.5)</f>
        <v/>
      </c>
    </row>
    <row r="98">
      <c r="A98" s="127" t="n"/>
      <c r="B98" s="128" t="n"/>
      <c r="C98" s="128" t="n"/>
      <c r="D98" s="116">
        <f>IF(A98="","",B98*1508)</f>
        <v/>
      </c>
      <c r="E98" s="128" t="n"/>
      <c r="F98" s="128" t="n"/>
      <c r="G98" s="128" t="n"/>
      <c r="H98" s="128" t="n"/>
      <c r="I98" s="116">
        <f>IF(A98="","",MAX((E98/2)-G98,0))</f>
        <v/>
      </c>
      <c r="J98" s="117">
        <f>IF(OR(A98="",E98=0),"",I98/(E98/2))</f>
        <v/>
      </c>
      <c r="K98" s="116">
        <f>IF(A98="","",MAX((F98/2)-H98,0))</f>
        <v/>
      </c>
      <c r="L98" s="117">
        <f>IF(OR(A98="",F98=0),"",K98/(F98/2))</f>
        <v/>
      </c>
      <c r="M98" s="128" t="n"/>
      <c r="N98" s="128" t="n"/>
      <c r="O98" s="116">
        <f>IF(A98="","",MAX((M98/3)-N98,0))</f>
        <v/>
      </c>
      <c r="P98" s="117">
        <f>IF(OR(A98="",M98=0),"",O98/(M98/3))</f>
        <v/>
      </c>
      <c r="Q98" s="116">
        <f>IF(A98="","",C98*1508)</f>
        <v/>
      </c>
      <c r="R98" s="128" t="n"/>
      <c r="S98" s="128" t="n"/>
      <c r="T98" s="117">
        <f>IF(OR(A98="",R98=0),"",MAX(R98-S98,0)/R98)</f>
        <v/>
      </c>
      <c r="U98" s="128" t="n"/>
      <c r="V98" s="128" t="n"/>
      <c r="W98" s="117">
        <f>IF(OR(A98="",U98=0),"",MAX(U98-V98,0)/U98)</f>
        <v/>
      </c>
      <c r="X98" s="128" t="n"/>
      <c r="Y98" s="128" t="n"/>
      <c r="Z98" s="117">
        <f>IF(OR(A98="",X98=0),"",MAX(X98-Y98,0)/X98)</f>
        <v/>
      </c>
      <c r="AA98" s="128" t="n"/>
      <c r="AB98" s="128" t="n"/>
      <c r="AC98" s="117">
        <f>IF(OR(A98="",AA98=0),"",MAX(AA98-AB98,0)/AA98)</f>
        <v/>
      </c>
      <c r="AD98" s="128" t="n"/>
      <c r="AE98" s="128" t="n"/>
      <c r="AF98" s="117">
        <f>IF(OR(A98="",AD98=0),"",MAX(AD98-AE98,0)/AD98)</f>
        <v/>
      </c>
      <c r="AG98" s="54">
        <f>IF(A98="",0,(B98*40)+(C98*40))</f>
        <v/>
      </c>
      <c r="AH98" s="54">
        <f>IF(A98="",0,(B98*100)+(C98*0))</f>
        <v/>
      </c>
      <c r="AI98" s="54">
        <f>IF(A98="",0,(B98*10)+(C98*0))</f>
        <v/>
      </c>
      <c r="AJ98" s="54">
        <f>IF(A98="",0,(B98*50)+(C98*0))</f>
        <v/>
      </c>
      <c r="AK98" s="54">
        <f>IF(A98="",0,(B98*20)+(C98*0))</f>
        <v/>
      </c>
      <c r="AL98" s="54">
        <f>IF(A98="",0,(B98*60)+(C98*0))</f>
        <v/>
      </c>
      <c r="AM98" s="54">
        <f>IF(A98="",0,(B98*4)+(C98*4))</f>
        <v/>
      </c>
      <c r="AN98" s="54">
        <f>IF(A98="",0,(B98*4)+(C98*4))</f>
        <v/>
      </c>
      <c r="AO98" s="54">
        <f>IF(A98="",0,(B98*6)+(C98*0))</f>
        <v/>
      </c>
      <c r="AP98" s="54">
        <f>IF(A98="",0,(B98*4)+(C98*10))</f>
        <v/>
      </c>
      <c r="AQ98" s="54">
        <f>IF(A98="",0,(B98*65)+(C98*80))</f>
        <v/>
      </c>
      <c r="AR98" s="54">
        <f>IF(A98="",0,(B98*0)+(C98*5))</f>
        <v/>
      </c>
      <c r="AS98" s="54">
        <f>IF(A98="",0,(B98*0)+(C98*50))</f>
        <v/>
      </c>
      <c r="AT98" s="54">
        <f>IF(A98="",0,(G98*25.51+N98*30+S98*7.5)/1000)</f>
        <v/>
      </c>
      <c r="AU98" s="54">
        <f>IF(A98="",0,(H98*21.74+V98*7.5)/1000)</f>
        <v/>
      </c>
      <c r="AV98" s="54">
        <f>IF(A98="",0,(G98*0.71)/1000)</f>
        <v/>
      </c>
      <c r="AW98" s="54">
        <f>IF(A98="",0,(AB98*5)/1000)</f>
        <v/>
      </c>
      <c r="AX98" s="54">
        <f>IF(A98="",0,(Y98*7)/1000)</f>
        <v/>
      </c>
      <c r="AY98" s="54">
        <f>IF(A98="",0,(AE98*7)/1000)</f>
        <v/>
      </c>
      <c r="AZ98" s="54">
        <f>IF(A98="",0,ROUNDUP((H98+N98)/115,0)*1.5)</f>
        <v/>
      </c>
      <c r="BA98" s="54">
        <f>IF(A98="",0,ROUNDUP((H98+N98)/115,0)*20)</f>
        <v/>
      </c>
      <c r="BB98" s="54">
        <f>IF(A98="",0,ROUNDUP((H98+N98)/115,0)*80)</f>
        <v/>
      </c>
      <c r="BC98" s="54">
        <f>IF(A98="",0,ROUNDUP((H98+N98)/115,0)*5)</f>
        <v/>
      </c>
      <c r="BD98" s="54">
        <f>IF(A98="",0,ROUNDUP((H98+N98)/115,0)*2.5)</f>
        <v/>
      </c>
    </row>
    <row r="99">
      <c r="A99" s="127" t="n"/>
      <c r="B99" s="128" t="n"/>
      <c r="C99" s="128" t="n"/>
      <c r="D99" s="116">
        <f>IF(A99="","",B99*1508)</f>
        <v/>
      </c>
      <c r="E99" s="128" t="n"/>
      <c r="F99" s="128" t="n"/>
      <c r="G99" s="128" t="n"/>
      <c r="H99" s="128" t="n"/>
      <c r="I99" s="116">
        <f>IF(A99="","",MAX((E99/2)-G99,0))</f>
        <v/>
      </c>
      <c r="J99" s="117">
        <f>IF(OR(A99="",E99=0),"",I99/(E99/2))</f>
        <v/>
      </c>
      <c r="K99" s="116">
        <f>IF(A99="","",MAX((F99/2)-H99,0))</f>
        <v/>
      </c>
      <c r="L99" s="117">
        <f>IF(OR(A99="",F99=0),"",K99/(F99/2))</f>
        <v/>
      </c>
      <c r="M99" s="128" t="n"/>
      <c r="N99" s="128" t="n"/>
      <c r="O99" s="116">
        <f>IF(A99="","",MAX((M99/3)-N99,0))</f>
        <v/>
      </c>
      <c r="P99" s="117">
        <f>IF(OR(A99="",M99=0),"",O99/(M99/3))</f>
        <v/>
      </c>
      <c r="Q99" s="116">
        <f>IF(A99="","",C99*1508)</f>
        <v/>
      </c>
      <c r="R99" s="128" t="n"/>
      <c r="S99" s="128" t="n"/>
      <c r="T99" s="117">
        <f>IF(OR(A99="",R99=0),"",MAX(R99-S99,0)/R99)</f>
        <v/>
      </c>
      <c r="U99" s="128" t="n"/>
      <c r="V99" s="128" t="n"/>
      <c r="W99" s="117">
        <f>IF(OR(A99="",U99=0),"",MAX(U99-V99,0)/U99)</f>
        <v/>
      </c>
      <c r="X99" s="128" t="n"/>
      <c r="Y99" s="128" t="n"/>
      <c r="Z99" s="117">
        <f>IF(OR(A99="",X99=0),"",MAX(X99-Y99,0)/X99)</f>
        <v/>
      </c>
      <c r="AA99" s="128" t="n"/>
      <c r="AB99" s="128" t="n"/>
      <c r="AC99" s="117">
        <f>IF(OR(A99="",AA99=0),"",MAX(AA99-AB99,0)/AA99)</f>
        <v/>
      </c>
      <c r="AD99" s="128" t="n"/>
      <c r="AE99" s="128" t="n"/>
      <c r="AF99" s="117">
        <f>IF(OR(A99="",AD99=0),"",MAX(AD99-AE99,0)/AD99)</f>
        <v/>
      </c>
      <c r="AG99" s="54">
        <f>IF(A99="",0,(B99*40)+(C99*40))</f>
        <v/>
      </c>
      <c r="AH99" s="54">
        <f>IF(A99="",0,(B99*100)+(C99*0))</f>
        <v/>
      </c>
      <c r="AI99" s="54">
        <f>IF(A99="",0,(B99*10)+(C99*0))</f>
        <v/>
      </c>
      <c r="AJ99" s="54">
        <f>IF(A99="",0,(B99*50)+(C99*0))</f>
        <v/>
      </c>
      <c r="AK99" s="54">
        <f>IF(A99="",0,(B99*20)+(C99*0))</f>
        <v/>
      </c>
      <c r="AL99" s="54">
        <f>IF(A99="",0,(B99*60)+(C99*0))</f>
        <v/>
      </c>
      <c r="AM99" s="54">
        <f>IF(A99="",0,(B99*4)+(C99*4))</f>
        <v/>
      </c>
      <c r="AN99" s="54">
        <f>IF(A99="",0,(B99*4)+(C99*4))</f>
        <v/>
      </c>
      <c r="AO99" s="54">
        <f>IF(A99="",0,(B99*6)+(C99*0))</f>
        <v/>
      </c>
      <c r="AP99" s="54">
        <f>IF(A99="",0,(B99*4)+(C99*10))</f>
        <v/>
      </c>
      <c r="AQ99" s="54">
        <f>IF(A99="",0,(B99*65)+(C99*80))</f>
        <v/>
      </c>
      <c r="AR99" s="54">
        <f>IF(A99="",0,(B99*0)+(C99*5))</f>
        <v/>
      </c>
      <c r="AS99" s="54">
        <f>IF(A99="",0,(B99*0)+(C99*50))</f>
        <v/>
      </c>
      <c r="AT99" s="54">
        <f>IF(A99="",0,(G99*25.51+N99*30+S99*7.5)/1000)</f>
        <v/>
      </c>
      <c r="AU99" s="54">
        <f>IF(A99="",0,(H99*21.74+V99*7.5)/1000)</f>
        <v/>
      </c>
      <c r="AV99" s="54">
        <f>IF(A99="",0,(G99*0.71)/1000)</f>
        <v/>
      </c>
      <c r="AW99" s="54">
        <f>IF(A99="",0,(AB99*5)/1000)</f>
        <v/>
      </c>
      <c r="AX99" s="54">
        <f>IF(A99="",0,(Y99*7)/1000)</f>
        <v/>
      </c>
      <c r="AY99" s="54">
        <f>IF(A99="",0,(AE99*7)/1000)</f>
        <v/>
      </c>
      <c r="AZ99" s="54">
        <f>IF(A99="",0,ROUNDUP((H99+N99)/115,0)*1.5)</f>
        <v/>
      </c>
      <c r="BA99" s="54">
        <f>IF(A99="",0,ROUNDUP((H99+N99)/115,0)*20)</f>
        <v/>
      </c>
      <c r="BB99" s="54">
        <f>IF(A99="",0,ROUNDUP((H99+N99)/115,0)*80)</f>
        <v/>
      </c>
      <c r="BC99" s="54">
        <f>IF(A99="",0,ROUNDUP((H99+N99)/115,0)*5)</f>
        <v/>
      </c>
      <c r="BD99" s="54">
        <f>IF(A99="",0,ROUNDUP((H99+N99)/115,0)*2.5)</f>
        <v/>
      </c>
    </row>
    <row r="100">
      <c r="A100" s="127" t="n"/>
      <c r="B100" s="128" t="n"/>
      <c r="C100" s="128" t="n"/>
      <c r="D100" s="116">
        <f>IF(A100="","",B100*1508)</f>
        <v/>
      </c>
      <c r="E100" s="128" t="n"/>
      <c r="F100" s="128" t="n"/>
      <c r="G100" s="128" t="n"/>
      <c r="H100" s="128" t="n"/>
      <c r="I100" s="116">
        <f>IF(A100="","",MAX((E100/2)-G100,0))</f>
        <v/>
      </c>
      <c r="J100" s="117">
        <f>IF(OR(A100="",E100=0),"",I100/(E100/2))</f>
        <v/>
      </c>
      <c r="K100" s="116">
        <f>IF(A100="","",MAX((F100/2)-H100,0))</f>
        <v/>
      </c>
      <c r="L100" s="117">
        <f>IF(OR(A100="",F100=0),"",K100/(F100/2))</f>
        <v/>
      </c>
      <c r="M100" s="128" t="n"/>
      <c r="N100" s="128" t="n"/>
      <c r="O100" s="116">
        <f>IF(A100="","",MAX((M100/3)-N100,0))</f>
        <v/>
      </c>
      <c r="P100" s="117">
        <f>IF(OR(A100="",M100=0),"",O100/(M100/3))</f>
        <v/>
      </c>
      <c r="Q100" s="116">
        <f>IF(A100="","",C100*1508)</f>
        <v/>
      </c>
      <c r="R100" s="128" t="n"/>
      <c r="S100" s="128" t="n"/>
      <c r="T100" s="117">
        <f>IF(OR(A100="",R100=0),"",MAX(R100-S100,0)/R100)</f>
        <v/>
      </c>
      <c r="U100" s="128" t="n"/>
      <c r="V100" s="128" t="n"/>
      <c r="W100" s="117">
        <f>IF(OR(A100="",U100=0),"",MAX(U100-V100,0)/U100)</f>
        <v/>
      </c>
      <c r="X100" s="128" t="n"/>
      <c r="Y100" s="128" t="n"/>
      <c r="Z100" s="117">
        <f>IF(OR(A100="",X100=0),"",MAX(X100-Y100,0)/X100)</f>
        <v/>
      </c>
      <c r="AA100" s="128" t="n"/>
      <c r="AB100" s="128" t="n"/>
      <c r="AC100" s="117">
        <f>IF(OR(A100="",AA100=0),"",MAX(AA100-AB100,0)/AA100)</f>
        <v/>
      </c>
      <c r="AD100" s="128" t="n"/>
      <c r="AE100" s="128" t="n"/>
      <c r="AF100" s="117">
        <f>IF(OR(A100="",AD100=0),"",MAX(AD100-AE100,0)/AD100)</f>
        <v/>
      </c>
      <c r="AG100" s="54">
        <f>IF(A100="",0,(B100*40)+(C100*40))</f>
        <v/>
      </c>
      <c r="AH100" s="54">
        <f>IF(A100="",0,(B100*100)+(C100*0))</f>
        <v/>
      </c>
      <c r="AI100" s="54">
        <f>IF(A100="",0,(B100*10)+(C100*0))</f>
        <v/>
      </c>
      <c r="AJ100" s="54">
        <f>IF(A100="",0,(B100*50)+(C100*0))</f>
        <v/>
      </c>
      <c r="AK100" s="54">
        <f>IF(A100="",0,(B100*20)+(C100*0))</f>
        <v/>
      </c>
      <c r="AL100" s="54">
        <f>IF(A100="",0,(B100*60)+(C100*0))</f>
        <v/>
      </c>
      <c r="AM100" s="54">
        <f>IF(A100="",0,(B100*4)+(C100*4))</f>
        <v/>
      </c>
      <c r="AN100" s="54">
        <f>IF(A100="",0,(B100*4)+(C100*4))</f>
        <v/>
      </c>
      <c r="AO100" s="54">
        <f>IF(A100="",0,(B100*6)+(C100*0))</f>
        <v/>
      </c>
      <c r="AP100" s="54">
        <f>IF(A100="",0,(B100*4)+(C100*10))</f>
        <v/>
      </c>
      <c r="AQ100" s="54">
        <f>IF(A100="",0,(B100*65)+(C100*80))</f>
        <v/>
      </c>
      <c r="AR100" s="54">
        <f>IF(A100="",0,(B100*0)+(C100*5))</f>
        <v/>
      </c>
      <c r="AS100" s="54">
        <f>IF(A100="",0,(B100*0)+(C100*50))</f>
        <v/>
      </c>
      <c r="AT100" s="54">
        <f>IF(A100="",0,(G100*25.51+N100*30+S100*7.5)/1000)</f>
        <v/>
      </c>
      <c r="AU100" s="54">
        <f>IF(A100="",0,(H100*21.74+V100*7.5)/1000)</f>
        <v/>
      </c>
      <c r="AV100" s="54">
        <f>IF(A100="",0,(G100*0.71)/1000)</f>
        <v/>
      </c>
      <c r="AW100" s="54">
        <f>IF(A100="",0,(AB100*5)/1000)</f>
        <v/>
      </c>
      <c r="AX100" s="54">
        <f>IF(A100="",0,(Y100*7)/1000)</f>
        <v/>
      </c>
      <c r="AY100" s="54">
        <f>IF(A100="",0,(AE100*7)/1000)</f>
        <v/>
      </c>
      <c r="AZ100" s="54">
        <f>IF(A100="",0,ROUNDUP((H100+N100)/115,0)*1.5)</f>
        <v/>
      </c>
      <c r="BA100" s="54">
        <f>IF(A100="",0,ROUNDUP((H100+N100)/115,0)*20)</f>
        <v/>
      </c>
      <c r="BB100" s="54">
        <f>IF(A100="",0,ROUNDUP((H100+N100)/115,0)*80)</f>
        <v/>
      </c>
      <c r="BC100" s="54">
        <f>IF(A100="",0,ROUNDUP((H100+N100)/115,0)*5)</f>
        <v/>
      </c>
      <c r="BD100" s="54">
        <f>IF(A100="",0,ROUNDUP((H100+N100)/115,0)*2.5)</f>
        <v/>
      </c>
    </row>
    <row r="101">
      <c r="A101" s="127" t="n"/>
      <c r="B101" s="128" t="n"/>
      <c r="C101" s="128" t="n"/>
      <c r="D101" s="116">
        <f>IF(A101="","",B101*1508)</f>
        <v/>
      </c>
      <c r="E101" s="128" t="n"/>
      <c r="F101" s="128" t="n"/>
      <c r="G101" s="128" t="n"/>
      <c r="H101" s="128" t="n"/>
      <c r="I101" s="116">
        <f>IF(A101="","",MAX((E101/2)-G101,0))</f>
        <v/>
      </c>
      <c r="J101" s="117">
        <f>IF(OR(A101="",E101=0),"",I101/(E101/2))</f>
        <v/>
      </c>
      <c r="K101" s="116">
        <f>IF(A101="","",MAX((F101/2)-H101,0))</f>
        <v/>
      </c>
      <c r="L101" s="117">
        <f>IF(OR(A101="",F101=0),"",K101/(F101/2))</f>
        <v/>
      </c>
      <c r="M101" s="128" t="n"/>
      <c r="N101" s="128" t="n"/>
      <c r="O101" s="116">
        <f>IF(A101="","",MAX((M101/3)-N101,0))</f>
        <v/>
      </c>
      <c r="P101" s="117">
        <f>IF(OR(A101="",M101=0),"",O101/(M101/3))</f>
        <v/>
      </c>
      <c r="Q101" s="116">
        <f>IF(A101="","",C101*1508)</f>
        <v/>
      </c>
      <c r="R101" s="128" t="n"/>
      <c r="S101" s="128" t="n"/>
      <c r="T101" s="117">
        <f>IF(OR(A101="",R101=0),"",MAX(R101-S101,0)/R101)</f>
        <v/>
      </c>
      <c r="U101" s="128" t="n"/>
      <c r="V101" s="128" t="n"/>
      <c r="W101" s="117">
        <f>IF(OR(A101="",U101=0),"",MAX(U101-V101,0)/U101)</f>
        <v/>
      </c>
      <c r="X101" s="128" t="n"/>
      <c r="Y101" s="128" t="n"/>
      <c r="Z101" s="117">
        <f>IF(OR(A101="",X101=0),"",MAX(X101-Y101,0)/X101)</f>
        <v/>
      </c>
      <c r="AA101" s="128" t="n"/>
      <c r="AB101" s="128" t="n"/>
      <c r="AC101" s="117">
        <f>IF(OR(A101="",AA101=0),"",MAX(AA101-AB101,0)/AA101)</f>
        <v/>
      </c>
      <c r="AD101" s="128" t="n"/>
      <c r="AE101" s="128" t="n"/>
      <c r="AF101" s="117">
        <f>IF(OR(A101="",AD101=0),"",MAX(AD101-AE101,0)/AD101)</f>
        <v/>
      </c>
      <c r="AG101" s="54">
        <f>IF(A101="",0,(B101*40)+(C101*40))</f>
        <v/>
      </c>
      <c r="AH101" s="54">
        <f>IF(A101="",0,(B101*100)+(C101*0))</f>
        <v/>
      </c>
      <c r="AI101" s="54">
        <f>IF(A101="",0,(B101*10)+(C101*0))</f>
        <v/>
      </c>
      <c r="AJ101" s="54">
        <f>IF(A101="",0,(B101*50)+(C101*0))</f>
        <v/>
      </c>
      <c r="AK101" s="54">
        <f>IF(A101="",0,(B101*20)+(C101*0))</f>
        <v/>
      </c>
      <c r="AL101" s="54">
        <f>IF(A101="",0,(B101*60)+(C101*0))</f>
        <v/>
      </c>
      <c r="AM101" s="54">
        <f>IF(A101="",0,(B101*4)+(C101*4))</f>
        <v/>
      </c>
      <c r="AN101" s="54">
        <f>IF(A101="",0,(B101*4)+(C101*4))</f>
        <v/>
      </c>
      <c r="AO101" s="54">
        <f>IF(A101="",0,(B101*6)+(C101*0))</f>
        <v/>
      </c>
      <c r="AP101" s="54">
        <f>IF(A101="",0,(B101*4)+(C101*10))</f>
        <v/>
      </c>
      <c r="AQ101" s="54">
        <f>IF(A101="",0,(B101*65)+(C101*80))</f>
        <v/>
      </c>
      <c r="AR101" s="54">
        <f>IF(A101="",0,(B101*0)+(C101*5))</f>
        <v/>
      </c>
      <c r="AS101" s="54">
        <f>IF(A101="",0,(B101*0)+(C101*50))</f>
        <v/>
      </c>
      <c r="AT101" s="54">
        <f>IF(A101="",0,(G101*25.51+N101*30+S101*7.5)/1000)</f>
        <v/>
      </c>
      <c r="AU101" s="54">
        <f>IF(A101="",0,(H101*21.74+V101*7.5)/1000)</f>
        <v/>
      </c>
      <c r="AV101" s="54">
        <f>IF(A101="",0,(G101*0.71)/1000)</f>
        <v/>
      </c>
      <c r="AW101" s="54">
        <f>IF(A101="",0,(AB101*5)/1000)</f>
        <v/>
      </c>
      <c r="AX101" s="54">
        <f>IF(A101="",0,(Y101*7)/1000)</f>
        <v/>
      </c>
      <c r="AY101" s="54">
        <f>IF(A101="",0,(AE101*7)/1000)</f>
        <v/>
      </c>
      <c r="AZ101" s="54">
        <f>IF(A101="",0,ROUNDUP((H101+N101)/115,0)*1.5)</f>
        <v/>
      </c>
      <c r="BA101" s="54">
        <f>IF(A101="",0,ROUNDUP((H101+N101)/115,0)*20)</f>
        <v/>
      </c>
      <c r="BB101" s="54">
        <f>IF(A101="",0,ROUNDUP((H101+N101)/115,0)*80)</f>
        <v/>
      </c>
      <c r="BC101" s="54">
        <f>IF(A101="",0,ROUNDUP((H101+N101)/115,0)*5)</f>
        <v/>
      </c>
      <c r="BD101" s="54">
        <f>IF(A101="",0,ROUNDUP((H101+N101)/115,0)*2.5)</f>
        <v/>
      </c>
    </row>
    <row r="102">
      <c r="A102" s="127" t="n"/>
      <c r="B102" s="128" t="n"/>
      <c r="C102" s="128" t="n"/>
      <c r="D102" s="116">
        <f>IF(A102="","",B102*1508)</f>
        <v/>
      </c>
      <c r="E102" s="128" t="n"/>
      <c r="F102" s="128" t="n"/>
      <c r="G102" s="128" t="n"/>
      <c r="H102" s="128" t="n"/>
      <c r="I102" s="116">
        <f>IF(A102="","",MAX((E102/2)-G102,0))</f>
        <v/>
      </c>
      <c r="J102" s="117">
        <f>IF(OR(A102="",E102=0),"",I102/(E102/2))</f>
        <v/>
      </c>
      <c r="K102" s="116">
        <f>IF(A102="","",MAX((F102/2)-H102,0))</f>
        <v/>
      </c>
      <c r="L102" s="117">
        <f>IF(OR(A102="",F102=0),"",K102/(F102/2))</f>
        <v/>
      </c>
      <c r="M102" s="128" t="n"/>
      <c r="N102" s="128" t="n"/>
      <c r="O102" s="116">
        <f>IF(A102="","",MAX((M102/3)-N102,0))</f>
        <v/>
      </c>
      <c r="P102" s="117">
        <f>IF(OR(A102="",M102=0),"",O102/(M102/3))</f>
        <v/>
      </c>
      <c r="Q102" s="116">
        <f>IF(A102="","",C102*1508)</f>
        <v/>
      </c>
      <c r="R102" s="128" t="n"/>
      <c r="S102" s="128" t="n"/>
      <c r="T102" s="117">
        <f>IF(OR(A102="",R102=0),"",MAX(R102-S102,0)/R102)</f>
        <v/>
      </c>
      <c r="U102" s="128" t="n"/>
      <c r="V102" s="128" t="n"/>
      <c r="W102" s="117">
        <f>IF(OR(A102="",U102=0),"",MAX(U102-V102,0)/U102)</f>
        <v/>
      </c>
      <c r="X102" s="128" t="n"/>
      <c r="Y102" s="128" t="n"/>
      <c r="Z102" s="117">
        <f>IF(OR(A102="",X102=0),"",MAX(X102-Y102,0)/X102)</f>
        <v/>
      </c>
      <c r="AA102" s="128" t="n"/>
      <c r="AB102" s="128" t="n"/>
      <c r="AC102" s="117">
        <f>IF(OR(A102="",AA102=0),"",MAX(AA102-AB102,0)/AA102)</f>
        <v/>
      </c>
      <c r="AD102" s="128" t="n"/>
      <c r="AE102" s="128" t="n"/>
      <c r="AF102" s="117">
        <f>IF(OR(A102="",AD102=0),"",MAX(AD102-AE102,0)/AD102)</f>
        <v/>
      </c>
      <c r="AG102" s="54">
        <f>IF(A102="",0,(B102*40)+(C102*40))</f>
        <v/>
      </c>
      <c r="AH102" s="54">
        <f>IF(A102="",0,(B102*100)+(C102*0))</f>
        <v/>
      </c>
      <c r="AI102" s="54">
        <f>IF(A102="",0,(B102*10)+(C102*0))</f>
        <v/>
      </c>
      <c r="AJ102" s="54">
        <f>IF(A102="",0,(B102*50)+(C102*0))</f>
        <v/>
      </c>
      <c r="AK102" s="54">
        <f>IF(A102="",0,(B102*20)+(C102*0))</f>
        <v/>
      </c>
      <c r="AL102" s="54">
        <f>IF(A102="",0,(B102*60)+(C102*0))</f>
        <v/>
      </c>
      <c r="AM102" s="54">
        <f>IF(A102="",0,(B102*4)+(C102*4))</f>
        <v/>
      </c>
      <c r="AN102" s="54">
        <f>IF(A102="",0,(B102*4)+(C102*4))</f>
        <v/>
      </c>
      <c r="AO102" s="54">
        <f>IF(A102="",0,(B102*6)+(C102*0))</f>
        <v/>
      </c>
      <c r="AP102" s="54">
        <f>IF(A102="",0,(B102*4)+(C102*10))</f>
        <v/>
      </c>
      <c r="AQ102" s="54">
        <f>IF(A102="",0,(B102*65)+(C102*80))</f>
        <v/>
      </c>
      <c r="AR102" s="54">
        <f>IF(A102="",0,(B102*0)+(C102*5))</f>
        <v/>
      </c>
      <c r="AS102" s="54">
        <f>IF(A102="",0,(B102*0)+(C102*50))</f>
        <v/>
      </c>
      <c r="AT102" s="54">
        <f>IF(A102="",0,(G102*25.51+N102*30+S102*7.5)/1000)</f>
        <v/>
      </c>
      <c r="AU102" s="54">
        <f>IF(A102="",0,(H102*21.74+V102*7.5)/1000)</f>
        <v/>
      </c>
      <c r="AV102" s="54">
        <f>IF(A102="",0,(G102*0.71)/1000)</f>
        <v/>
      </c>
      <c r="AW102" s="54">
        <f>IF(A102="",0,(AB102*5)/1000)</f>
        <v/>
      </c>
      <c r="AX102" s="54">
        <f>IF(A102="",0,(Y102*7)/1000)</f>
        <v/>
      </c>
      <c r="AY102" s="54">
        <f>IF(A102="",0,(AE102*7)/1000)</f>
        <v/>
      </c>
      <c r="AZ102" s="54">
        <f>IF(A102="",0,ROUNDUP((H102+N102)/115,0)*1.5)</f>
        <v/>
      </c>
      <c r="BA102" s="54">
        <f>IF(A102="",0,ROUNDUP((H102+N102)/115,0)*20)</f>
        <v/>
      </c>
      <c r="BB102" s="54">
        <f>IF(A102="",0,ROUNDUP((H102+N102)/115,0)*80)</f>
        <v/>
      </c>
      <c r="BC102" s="54">
        <f>IF(A102="",0,ROUNDUP((H102+N102)/115,0)*5)</f>
        <v/>
      </c>
      <c r="BD102" s="54">
        <f>IF(A102="",0,ROUNDUP((H102+N102)/115,0)*2.5)</f>
        <v/>
      </c>
    </row>
    <row r="103">
      <c r="A103" s="127" t="n"/>
      <c r="B103" s="128" t="n"/>
      <c r="C103" s="128" t="n"/>
      <c r="D103" s="116">
        <f>IF(A103="","",B103*1508)</f>
        <v/>
      </c>
      <c r="E103" s="128" t="n"/>
      <c r="F103" s="128" t="n"/>
      <c r="G103" s="128" t="n"/>
      <c r="H103" s="128" t="n"/>
      <c r="I103" s="116">
        <f>IF(A103="","",MAX((E103/2)-G103,0))</f>
        <v/>
      </c>
      <c r="J103" s="117">
        <f>IF(OR(A103="",E103=0),"",I103/(E103/2))</f>
        <v/>
      </c>
      <c r="K103" s="116">
        <f>IF(A103="","",MAX((F103/2)-H103,0))</f>
        <v/>
      </c>
      <c r="L103" s="117">
        <f>IF(OR(A103="",F103=0),"",K103/(F103/2))</f>
        <v/>
      </c>
      <c r="M103" s="128" t="n"/>
      <c r="N103" s="128" t="n"/>
      <c r="O103" s="116">
        <f>IF(A103="","",MAX((M103/3)-N103,0))</f>
        <v/>
      </c>
      <c r="P103" s="117">
        <f>IF(OR(A103="",M103=0),"",O103/(M103/3))</f>
        <v/>
      </c>
      <c r="Q103" s="116">
        <f>IF(A103="","",C103*1508)</f>
        <v/>
      </c>
      <c r="R103" s="128" t="n"/>
      <c r="S103" s="128" t="n"/>
      <c r="T103" s="117">
        <f>IF(OR(A103="",R103=0),"",MAX(R103-S103,0)/R103)</f>
        <v/>
      </c>
      <c r="U103" s="128" t="n"/>
      <c r="V103" s="128" t="n"/>
      <c r="W103" s="117">
        <f>IF(OR(A103="",U103=0),"",MAX(U103-V103,0)/U103)</f>
        <v/>
      </c>
      <c r="X103" s="128" t="n"/>
      <c r="Y103" s="128" t="n"/>
      <c r="Z103" s="117">
        <f>IF(OR(A103="",X103=0),"",MAX(X103-Y103,0)/X103)</f>
        <v/>
      </c>
      <c r="AA103" s="128" t="n"/>
      <c r="AB103" s="128" t="n"/>
      <c r="AC103" s="117">
        <f>IF(OR(A103="",AA103=0),"",MAX(AA103-AB103,0)/AA103)</f>
        <v/>
      </c>
      <c r="AD103" s="128" t="n"/>
      <c r="AE103" s="128" t="n"/>
      <c r="AF103" s="117">
        <f>IF(OR(A103="",AD103=0),"",MAX(AD103-AE103,0)/AD103)</f>
        <v/>
      </c>
      <c r="AG103" s="54">
        <f>IF(A103="",0,(B103*40)+(C103*40))</f>
        <v/>
      </c>
      <c r="AH103" s="54">
        <f>IF(A103="",0,(B103*100)+(C103*0))</f>
        <v/>
      </c>
      <c r="AI103" s="54">
        <f>IF(A103="",0,(B103*10)+(C103*0))</f>
        <v/>
      </c>
      <c r="AJ103" s="54">
        <f>IF(A103="",0,(B103*50)+(C103*0))</f>
        <v/>
      </c>
      <c r="AK103" s="54">
        <f>IF(A103="",0,(B103*20)+(C103*0))</f>
        <v/>
      </c>
      <c r="AL103" s="54">
        <f>IF(A103="",0,(B103*60)+(C103*0))</f>
        <v/>
      </c>
      <c r="AM103" s="54">
        <f>IF(A103="",0,(B103*4)+(C103*4))</f>
        <v/>
      </c>
      <c r="AN103" s="54">
        <f>IF(A103="",0,(B103*4)+(C103*4))</f>
        <v/>
      </c>
      <c r="AO103" s="54">
        <f>IF(A103="",0,(B103*6)+(C103*0))</f>
        <v/>
      </c>
      <c r="AP103" s="54">
        <f>IF(A103="",0,(B103*4)+(C103*10))</f>
        <v/>
      </c>
      <c r="AQ103" s="54">
        <f>IF(A103="",0,(B103*65)+(C103*80))</f>
        <v/>
      </c>
      <c r="AR103" s="54">
        <f>IF(A103="",0,(B103*0)+(C103*5))</f>
        <v/>
      </c>
      <c r="AS103" s="54">
        <f>IF(A103="",0,(B103*0)+(C103*50))</f>
        <v/>
      </c>
      <c r="AT103" s="54">
        <f>IF(A103="",0,(G103*25.51+N103*30+S103*7.5)/1000)</f>
        <v/>
      </c>
      <c r="AU103" s="54">
        <f>IF(A103="",0,(H103*21.74+V103*7.5)/1000)</f>
        <v/>
      </c>
      <c r="AV103" s="54">
        <f>IF(A103="",0,(G103*0.71)/1000)</f>
        <v/>
      </c>
      <c r="AW103" s="54">
        <f>IF(A103="",0,(AB103*5)/1000)</f>
        <v/>
      </c>
      <c r="AX103" s="54">
        <f>IF(A103="",0,(Y103*7)/1000)</f>
        <v/>
      </c>
      <c r="AY103" s="54">
        <f>IF(A103="",0,(AE103*7)/1000)</f>
        <v/>
      </c>
      <c r="AZ103" s="54">
        <f>IF(A103="",0,ROUNDUP((H103+N103)/115,0)*1.5)</f>
        <v/>
      </c>
      <c r="BA103" s="54">
        <f>IF(A103="",0,ROUNDUP((H103+N103)/115,0)*20)</f>
        <v/>
      </c>
      <c r="BB103" s="54">
        <f>IF(A103="",0,ROUNDUP((H103+N103)/115,0)*80)</f>
        <v/>
      </c>
      <c r="BC103" s="54">
        <f>IF(A103="",0,ROUNDUP((H103+N103)/115,0)*5)</f>
        <v/>
      </c>
      <c r="BD103" s="54">
        <f>IF(A103="",0,ROUNDUP((H103+N103)/115,0)*2.5)</f>
        <v/>
      </c>
    </row>
    <row r="104">
      <c r="A104" s="127" t="n"/>
      <c r="B104" s="128" t="n"/>
      <c r="C104" s="128" t="n"/>
      <c r="D104" s="116">
        <f>IF(A104="","",B104*1508)</f>
        <v/>
      </c>
      <c r="E104" s="128" t="n"/>
      <c r="F104" s="128" t="n"/>
      <c r="G104" s="128" t="n"/>
      <c r="H104" s="128" t="n"/>
      <c r="I104" s="116">
        <f>IF(A104="","",MAX((E104/2)-G104,0))</f>
        <v/>
      </c>
      <c r="J104" s="117">
        <f>IF(OR(A104="",E104=0),"",I104/(E104/2))</f>
        <v/>
      </c>
      <c r="K104" s="116">
        <f>IF(A104="","",MAX((F104/2)-H104,0))</f>
        <v/>
      </c>
      <c r="L104" s="117">
        <f>IF(OR(A104="",F104=0),"",K104/(F104/2))</f>
        <v/>
      </c>
      <c r="M104" s="128" t="n"/>
      <c r="N104" s="128" t="n"/>
      <c r="O104" s="116">
        <f>IF(A104="","",MAX((M104/3)-N104,0))</f>
        <v/>
      </c>
      <c r="P104" s="117">
        <f>IF(OR(A104="",M104=0),"",O104/(M104/3))</f>
        <v/>
      </c>
      <c r="Q104" s="116">
        <f>IF(A104="","",C104*1508)</f>
        <v/>
      </c>
      <c r="R104" s="128" t="n"/>
      <c r="S104" s="128" t="n"/>
      <c r="T104" s="117">
        <f>IF(OR(A104="",R104=0),"",MAX(R104-S104,0)/R104)</f>
        <v/>
      </c>
      <c r="U104" s="128" t="n"/>
      <c r="V104" s="128" t="n"/>
      <c r="W104" s="117">
        <f>IF(OR(A104="",U104=0),"",MAX(U104-V104,0)/U104)</f>
        <v/>
      </c>
      <c r="X104" s="128" t="n"/>
      <c r="Y104" s="128" t="n"/>
      <c r="Z104" s="117">
        <f>IF(OR(A104="",X104=0),"",MAX(X104-Y104,0)/X104)</f>
        <v/>
      </c>
      <c r="AA104" s="128" t="n"/>
      <c r="AB104" s="128" t="n"/>
      <c r="AC104" s="117">
        <f>IF(OR(A104="",AA104=0),"",MAX(AA104-AB104,0)/AA104)</f>
        <v/>
      </c>
      <c r="AD104" s="128" t="n"/>
      <c r="AE104" s="128" t="n"/>
      <c r="AF104" s="117">
        <f>IF(OR(A104="",AD104=0),"",MAX(AD104-AE104,0)/AD104)</f>
        <v/>
      </c>
      <c r="AG104" s="54">
        <f>IF(A104="",0,(B104*40)+(C104*40))</f>
        <v/>
      </c>
      <c r="AH104" s="54">
        <f>IF(A104="",0,(B104*100)+(C104*0))</f>
        <v/>
      </c>
      <c r="AI104" s="54">
        <f>IF(A104="",0,(B104*10)+(C104*0))</f>
        <v/>
      </c>
      <c r="AJ104" s="54">
        <f>IF(A104="",0,(B104*50)+(C104*0))</f>
        <v/>
      </c>
      <c r="AK104" s="54">
        <f>IF(A104="",0,(B104*20)+(C104*0))</f>
        <v/>
      </c>
      <c r="AL104" s="54">
        <f>IF(A104="",0,(B104*60)+(C104*0))</f>
        <v/>
      </c>
      <c r="AM104" s="54">
        <f>IF(A104="",0,(B104*4)+(C104*4))</f>
        <v/>
      </c>
      <c r="AN104" s="54">
        <f>IF(A104="",0,(B104*4)+(C104*4))</f>
        <v/>
      </c>
      <c r="AO104" s="54">
        <f>IF(A104="",0,(B104*6)+(C104*0))</f>
        <v/>
      </c>
      <c r="AP104" s="54">
        <f>IF(A104="",0,(B104*4)+(C104*10))</f>
        <v/>
      </c>
      <c r="AQ104" s="54">
        <f>IF(A104="",0,(B104*65)+(C104*80))</f>
        <v/>
      </c>
      <c r="AR104" s="54">
        <f>IF(A104="",0,(B104*0)+(C104*5))</f>
        <v/>
      </c>
      <c r="AS104" s="54">
        <f>IF(A104="",0,(B104*0)+(C104*50))</f>
        <v/>
      </c>
      <c r="AT104" s="54">
        <f>IF(A104="",0,(G104*25.51+N104*30+S104*7.5)/1000)</f>
        <v/>
      </c>
      <c r="AU104" s="54">
        <f>IF(A104="",0,(H104*21.74+V104*7.5)/1000)</f>
        <v/>
      </c>
      <c r="AV104" s="54">
        <f>IF(A104="",0,(G104*0.71)/1000)</f>
        <v/>
      </c>
      <c r="AW104" s="54">
        <f>IF(A104="",0,(AB104*5)/1000)</f>
        <v/>
      </c>
      <c r="AX104" s="54">
        <f>IF(A104="",0,(Y104*7)/1000)</f>
        <v/>
      </c>
      <c r="AY104" s="54">
        <f>IF(A104="",0,(AE104*7)/1000)</f>
        <v/>
      </c>
      <c r="AZ104" s="54">
        <f>IF(A104="",0,ROUNDUP((H104+N104)/115,0)*1.5)</f>
        <v/>
      </c>
      <c r="BA104" s="54">
        <f>IF(A104="",0,ROUNDUP((H104+N104)/115,0)*20)</f>
        <v/>
      </c>
      <c r="BB104" s="54">
        <f>IF(A104="",0,ROUNDUP((H104+N104)/115,0)*80)</f>
        <v/>
      </c>
      <c r="BC104" s="54">
        <f>IF(A104="",0,ROUNDUP((H104+N104)/115,0)*5)</f>
        <v/>
      </c>
      <c r="BD104" s="54">
        <f>IF(A104="",0,ROUNDUP((H104+N104)/115,0)*2.5)</f>
        <v/>
      </c>
    </row>
    <row r="105">
      <c r="A105" s="127" t="n"/>
      <c r="B105" s="128" t="n"/>
      <c r="C105" s="128" t="n"/>
      <c r="D105" s="116">
        <f>IF(A105="","",B105*1508)</f>
        <v/>
      </c>
      <c r="E105" s="128" t="n"/>
      <c r="F105" s="128" t="n"/>
      <c r="G105" s="128" t="n"/>
      <c r="H105" s="128" t="n"/>
      <c r="I105" s="116">
        <f>IF(A105="","",MAX((E105/2)-G105,0))</f>
        <v/>
      </c>
      <c r="J105" s="117">
        <f>IF(OR(A105="",E105=0),"",I105/(E105/2))</f>
        <v/>
      </c>
      <c r="K105" s="116">
        <f>IF(A105="","",MAX((F105/2)-H105,0))</f>
        <v/>
      </c>
      <c r="L105" s="117">
        <f>IF(OR(A105="",F105=0),"",K105/(F105/2))</f>
        <v/>
      </c>
      <c r="M105" s="128" t="n"/>
      <c r="N105" s="128" t="n"/>
      <c r="O105" s="116">
        <f>IF(A105="","",MAX((M105/3)-N105,0))</f>
        <v/>
      </c>
      <c r="P105" s="117">
        <f>IF(OR(A105="",M105=0),"",O105/(M105/3))</f>
        <v/>
      </c>
      <c r="Q105" s="116">
        <f>IF(A105="","",C105*1508)</f>
        <v/>
      </c>
      <c r="R105" s="128" t="n"/>
      <c r="S105" s="128" t="n"/>
      <c r="T105" s="117">
        <f>IF(OR(A105="",R105=0),"",MAX(R105-S105,0)/R105)</f>
        <v/>
      </c>
      <c r="U105" s="128" t="n"/>
      <c r="V105" s="128" t="n"/>
      <c r="W105" s="117">
        <f>IF(OR(A105="",U105=0),"",MAX(U105-V105,0)/U105)</f>
        <v/>
      </c>
      <c r="X105" s="128" t="n"/>
      <c r="Y105" s="128" t="n"/>
      <c r="Z105" s="117">
        <f>IF(OR(A105="",X105=0),"",MAX(X105-Y105,0)/X105)</f>
        <v/>
      </c>
      <c r="AA105" s="128" t="n"/>
      <c r="AB105" s="128" t="n"/>
      <c r="AC105" s="117">
        <f>IF(OR(A105="",AA105=0),"",MAX(AA105-AB105,0)/AA105)</f>
        <v/>
      </c>
      <c r="AD105" s="128" t="n"/>
      <c r="AE105" s="128" t="n"/>
      <c r="AF105" s="117">
        <f>IF(OR(A105="",AD105=0),"",MAX(AD105-AE105,0)/AD105)</f>
        <v/>
      </c>
      <c r="AG105" s="54">
        <f>IF(A105="",0,(B105*40)+(C105*40))</f>
        <v/>
      </c>
      <c r="AH105" s="54">
        <f>IF(A105="",0,(B105*100)+(C105*0))</f>
        <v/>
      </c>
      <c r="AI105" s="54">
        <f>IF(A105="",0,(B105*10)+(C105*0))</f>
        <v/>
      </c>
      <c r="AJ105" s="54">
        <f>IF(A105="",0,(B105*50)+(C105*0))</f>
        <v/>
      </c>
      <c r="AK105" s="54">
        <f>IF(A105="",0,(B105*20)+(C105*0))</f>
        <v/>
      </c>
      <c r="AL105" s="54">
        <f>IF(A105="",0,(B105*60)+(C105*0))</f>
        <v/>
      </c>
      <c r="AM105" s="54">
        <f>IF(A105="",0,(B105*4)+(C105*4))</f>
        <v/>
      </c>
      <c r="AN105" s="54">
        <f>IF(A105="",0,(B105*4)+(C105*4))</f>
        <v/>
      </c>
      <c r="AO105" s="54">
        <f>IF(A105="",0,(B105*6)+(C105*0))</f>
        <v/>
      </c>
      <c r="AP105" s="54">
        <f>IF(A105="",0,(B105*4)+(C105*10))</f>
        <v/>
      </c>
      <c r="AQ105" s="54">
        <f>IF(A105="",0,(B105*65)+(C105*80))</f>
        <v/>
      </c>
      <c r="AR105" s="54">
        <f>IF(A105="",0,(B105*0)+(C105*5))</f>
        <v/>
      </c>
      <c r="AS105" s="54">
        <f>IF(A105="",0,(B105*0)+(C105*50))</f>
        <v/>
      </c>
      <c r="AT105" s="54">
        <f>IF(A105="",0,(G105*25.51+N105*30+S105*7.5)/1000)</f>
        <v/>
      </c>
      <c r="AU105" s="54">
        <f>IF(A105="",0,(H105*21.74+V105*7.5)/1000)</f>
        <v/>
      </c>
      <c r="AV105" s="54">
        <f>IF(A105="",0,(G105*0.71)/1000)</f>
        <v/>
      </c>
      <c r="AW105" s="54">
        <f>IF(A105="",0,(AB105*5)/1000)</f>
        <v/>
      </c>
      <c r="AX105" s="54">
        <f>IF(A105="",0,(Y105*7)/1000)</f>
        <v/>
      </c>
      <c r="AY105" s="54">
        <f>IF(A105="",0,(AE105*7)/1000)</f>
        <v/>
      </c>
      <c r="AZ105" s="54">
        <f>IF(A105="",0,ROUNDUP((H105+N105)/115,0)*1.5)</f>
        <v/>
      </c>
      <c r="BA105" s="54">
        <f>IF(A105="",0,ROUNDUP((H105+N105)/115,0)*20)</f>
        <v/>
      </c>
      <c r="BB105" s="54">
        <f>IF(A105="",0,ROUNDUP((H105+N105)/115,0)*80)</f>
        <v/>
      </c>
      <c r="BC105" s="54">
        <f>IF(A105="",0,ROUNDUP((H105+N105)/115,0)*5)</f>
        <v/>
      </c>
      <c r="BD105" s="54">
        <f>IF(A105="",0,ROUNDUP((H105+N105)/115,0)*2.5)</f>
        <v/>
      </c>
    </row>
    <row r="106">
      <c r="A106" s="127" t="n"/>
      <c r="B106" s="128" t="n"/>
      <c r="C106" s="128" t="n"/>
      <c r="D106" s="116">
        <f>IF(A106="","",B106*1508)</f>
        <v/>
      </c>
      <c r="E106" s="128" t="n"/>
      <c r="F106" s="128" t="n"/>
      <c r="G106" s="128" t="n"/>
      <c r="H106" s="128" t="n"/>
      <c r="I106" s="116">
        <f>IF(A106="","",MAX((E106/2)-G106,0))</f>
        <v/>
      </c>
      <c r="J106" s="117">
        <f>IF(OR(A106="",E106=0),"",I106/(E106/2))</f>
        <v/>
      </c>
      <c r="K106" s="116">
        <f>IF(A106="","",MAX((F106/2)-H106,0))</f>
        <v/>
      </c>
      <c r="L106" s="117">
        <f>IF(OR(A106="",F106=0),"",K106/(F106/2))</f>
        <v/>
      </c>
      <c r="M106" s="128" t="n"/>
      <c r="N106" s="128" t="n"/>
      <c r="O106" s="116">
        <f>IF(A106="","",MAX((M106/3)-N106,0))</f>
        <v/>
      </c>
      <c r="P106" s="117">
        <f>IF(OR(A106="",M106=0),"",O106/(M106/3))</f>
        <v/>
      </c>
      <c r="Q106" s="116">
        <f>IF(A106="","",C106*1508)</f>
        <v/>
      </c>
      <c r="R106" s="128" t="n"/>
      <c r="S106" s="128" t="n"/>
      <c r="T106" s="117">
        <f>IF(OR(A106="",R106=0),"",MAX(R106-S106,0)/R106)</f>
        <v/>
      </c>
      <c r="U106" s="128" t="n"/>
      <c r="V106" s="128" t="n"/>
      <c r="W106" s="117">
        <f>IF(OR(A106="",U106=0),"",MAX(U106-V106,0)/U106)</f>
        <v/>
      </c>
      <c r="X106" s="128" t="n"/>
      <c r="Y106" s="128" t="n"/>
      <c r="Z106" s="117">
        <f>IF(OR(A106="",X106=0),"",MAX(X106-Y106,0)/X106)</f>
        <v/>
      </c>
      <c r="AA106" s="128" t="n"/>
      <c r="AB106" s="128" t="n"/>
      <c r="AC106" s="117">
        <f>IF(OR(A106="",AA106=0),"",MAX(AA106-AB106,0)/AA106)</f>
        <v/>
      </c>
      <c r="AD106" s="128" t="n"/>
      <c r="AE106" s="128" t="n"/>
      <c r="AF106" s="117">
        <f>IF(OR(A106="",AD106=0),"",MAX(AD106-AE106,0)/AD106)</f>
        <v/>
      </c>
      <c r="AG106" s="54">
        <f>IF(A106="",0,(B106*40)+(C106*40))</f>
        <v/>
      </c>
      <c r="AH106" s="54">
        <f>IF(A106="",0,(B106*100)+(C106*0))</f>
        <v/>
      </c>
      <c r="AI106" s="54">
        <f>IF(A106="",0,(B106*10)+(C106*0))</f>
        <v/>
      </c>
      <c r="AJ106" s="54">
        <f>IF(A106="",0,(B106*50)+(C106*0))</f>
        <v/>
      </c>
      <c r="AK106" s="54">
        <f>IF(A106="",0,(B106*20)+(C106*0))</f>
        <v/>
      </c>
      <c r="AL106" s="54">
        <f>IF(A106="",0,(B106*60)+(C106*0))</f>
        <v/>
      </c>
      <c r="AM106" s="54">
        <f>IF(A106="",0,(B106*4)+(C106*4))</f>
        <v/>
      </c>
      <c r="AN106" s="54">
        <f>IF(A106="",0,(B106*4)+(C106*4))</f>
        <v/>
      </c>
      <c r="AO106" s="54">
        <f>IF(A106="",0,(B106*6)+(C106*0))</f>
        <v/>
      </c>
      <c r="AP106" s="54">
        <f>IF(A106="",0,(B106*4)+(C106*10))</f>
        <v/>
      </c>
      <c r="AQ106" s="54">
        <f>IF(A106="",0,(B106*65)+(C106*80))</f>
        <v/>
      </c>
      <c r="AR106" s="54">
        <f>IF(A106="",0,(B106*0)+(C106*5))</f>
        <v/>
      </c>
      <c r="AS106" s="54">
        <f>IF(A106="",0,(B106*0)+(C106*50))</f>
        <v/>
      </c>
      <c r="AT106" s="54">
        <f>IF(A106="",0,(G106*25.51+N106*30+S106*7.5)/1000)</f>
        <v/>
      </c>
      <c r="AU106" s="54">
        <f>IF(A106="",0,(H106*21.74+V106*7.5)/1000)</f>
        <v/>
      </c>
      <c r="AV106" s="54">
        <f>IF(A106="",0,(G106*0.71)/1000)</f>
        <v/>
      </c>
      <c r="AW106" s="54">
        <f>IF(A106="",0,(AB106*5)/1000)</f>
        <v/>
      </c>
      <c r="AX106" s="54">
        <f>IF(A106="",0,(Y106*7)/1000)</f>
        <v/>
      </c>
      <c r="AY106" s="54">
        <f>IF(A106="",0,(AE106*7)/1000)</f>
        <v/>
      </c>
      <c r="AZ106" s="54">
        <f>IF(A106="",0,ROUNDUP((H106+N106)/115,0)*1.5)</f>
        <v/>
      </c>
      <c r="BA106" s="54">
        <f>IF(A106="",0,ROUNDUP((H106+N106)/115,0)*20)</f>
        <v/>
      </c>
      <c r="BB106" s="54">
        <f>IF(A106="",0,ROUNDUP((H106+N106)/115,0)*80)</f>
        <v/>
      </c>
      <c r="BC106" s="54">
        <f>IF(A106="",0,ROUNDUP((H106+N106)/115,0)*5)</f>
        <v/>
      </c>
      <c r="BD106" s="54">
        <f>IF(A106="",0,ROUNDUP((H106+N106)/115,0)*2.5)</f>
        <v/>
      </c>
    </row>
    <row r="107">
      <c r="A107" s="127" t="n"/>
      <c r="B107" s="128" t="n"/>
      <c r="C107" s="128" t="n"/>
      <c r="D107" s="116">
        <f>IF(A107="","",B107*1508)</f>
        <v/>
      </c>
      <c r="E107" s="128" t="n"/>
      <c r="F107" s="128" t="n"/>
      <c r="G107" s="128" t="n"/>
      <c r="H107" s="128" t="n"/>
      <c r="I107" s="116">
        <f>IF(A107="","",MAX((E107/2)-G107,0))</f>
        <v/>
      </c>
      <c r="J107" s="117">
        <f>IF(OR(A107="",E107=0),"",I107/(E107/2))</f>
        <v/>
      </c>
      <c r="K107" s="116">
        <f>IF(A107="","",MAX((F107/2)-H107,0))</f>
        <v/>
      </c>
      <c r="L107" s="117">
        <f>IF(OR(A107="",F107=0),"",K107/(F107/2))</f>
        <v/>
      </c>
      <c r="M107" s="128" t="n"/>
      <c r="N107" s="128" t="n"/>
      <c r="O107" s="116">
        <f>IF(A107="","",MAX((M107/3)-N107,0))</f>
        <v/>
      </c>
      <c r="P107" s="117">
        <f>IF(OR(A107="",M107=0),"",O107/(M107/3))</f>
        <v/>
      </c>
      <c r="Q107" s="116">
        <f>IF(A107="","",C107*1508)</f>
        <v/>
      </c>
      <c r="R107" s="128" t="n"/>
      <c r="S107" s="128" t="n"/>
      <c r="T107" s="117">
        <f>IF(OR(A107="",R107=0),"",MAX(R107-S107,0)/R107)</f>
        <v/>
      </c>
      <c r="U107" s="128" t="n"/>
      <c r="V107" s="128" t="n"/>
      <c r="W107" s="117">
        <f>IF(OR(A107="",U107=0),"",MAX(U107-V107,0)/U107)</f>
        <v/>
      </c>
      <c r="X107" s="128" t="n"/>
      <c r="Y107" s="128" t="n"/>
      <c r="Z107" s="117">
        <f>IF(OR(A107="",X107=0),"",MAX(X107-Y107,0)/X107)</f>
        <v/>
      </c>
      <c r="AA107" s="128" t="n"/>
      <c r="AB107" s="128" t="n"/>
      <c r="AC107" s="117">
        <f>IF(OR(A107="",AA107=0),"",MAX(AA107-AB107,0)/AA107)</f>
        <v/>
      </c>
      <c r="AD107" s="128" t="n"/>
      <c r="AE107" s="128" t="n"/>
      <c r="AF107" s="117">
        <f>IF(OR(A107="",AD107=0),"",MAX(AD107-AE107,0)/AD107)</f>
        <v/>
      </c>
      <c r="AG107" s="54">
        <f>IF(A107="",0,(B107*40)+(C107*40))</f>
        <v/>
      </c>
      <c r="AH107" s="54">
        <f>IF(A107="",0,(B107*100)+(C107*0))</f>
        <v/>
      </c>
      <c r="AI107" s="54">
        <f>IF(A107="",0,(B107*10)+(C107*0))</f>
        <v/>
      </c>
      <c r="AJ107" s="54">
        <f>IF(A107="",0,(B107*50)+(C107*0))</f>
        <v/>
      </c>
      <c r="AK107" s="54">
        <f>IF(A107="",0,(B107*20)+(C107*0))</f>
        <v/>
      </c>
      <c r="AL107" s="54">
        <f>IF(A107="",0,(B107*60)+(C107*0))</f>
        <v/>
      </c>
      <c r="AM107" s="54">
        <f>IF(A107="",0,(B107*4)+(C107*4))</f>
        <v/>
      </c>
      <c r="AN107" s="54">
        <f>IF(A107="",0,(B107*4)+(C107*4))</f>
        <v/>
      </c>
      <c r="AO107" s="54">
        <f>IF(A107="",0,(B107*6)+(C107*0))</f>
        <v/>
      </c>
      <c r="AP107" s="54">
        <f>IF(A107="",0,(B107*4)+(C107*10))</f>
        <v/>
      </c>
      <c r="AQ107" s="54">
        <f>IF(A107="",0,(B107*65)+(C107*80))</f>
        <v/>
      </c>
      <c r="AR107" s="54">
        <f>IF(A107="",0,(B107*0)+(C107*5))</f>
        <v/>
      </c>
      <c r="AS107" s="54">
        <f>IF(A107="",0,(B107*0)+(C107*50))</f>
        <v/>
      </c>
      <c r="AT107" s="54">
        <f>IF(A107="",0,(G107*25.51+N107*30+S107*7.5)/1000)</f>
        <v/>
      </c>
      <c r="AU107" s="54">
        <f>IF(A107="",0,(H107*21.74+V107*7.5)/1000)</f>
        <v/>
      </c>
      <c r="AV107" s="54">
        <f>IF(A107="",0,(G107*0.71)/1000)</f>
        <v/>
      </c>
      <c r="AW107" s="54">
        <f>IF(A107="",0,(AB107*5)/1000)</f>
        <v/>
      </c>
      <c r="AX107" s="54">
        <f>IF(A107="",0,(Y107*7)/1000)</f>
        <v/>
      </c>
      <c r="AY107" s="54">
        <f>IF(A107="",0,(AE107*7)/1000)</f>
        <v/>
      </c>
      <c r="AZ107" s="54">
        <f>IF(A107="",0,ROUNDUP((H107+N107)/115,0)*1.5)</f>
        <v/>
      </c>
      <c r="BA107" s="54">
        <f>IF(A107="",0,ROUNDUP((H107+N107)/115,0)*20)</f>
        <v/>
      </c>
      <c r="BB107" s="54">
        <f>IF(A107="",0,ROUNDUP((H107+N107)/115,0)*80)</f>
        <v/>
      </c>
      <c r="BC107" s="54">
        <f>IF(A107="",0,ROUNDUP((H107+N107)/115,0)*5)</f>
        <v/>
      </c>
      <c r="BD107" s="54">
        <f>IF(A107="",0,ROUNDUP((H107+N107)/115,0)*2.5)</f>
        <v/>
      </c>
    </row>
    <row r="108">
      <c r="A108" s="127" t="n"/>
      <c r="B108" s="128" t="n"/>
      <c r="C108" s="128" t="n"/>
      <c r="D108" s="116">
        <f>IF(A108="","",B108*1508)</f>
        <v/>
      </c>
      <c r="E108" s="128" t="n"/>
      <c r="F108" s="128" t="n"/>
      <c r="G108" s="128" t="n"/>
      <c r="H108" s="128" t="n"/>
      <c r="I108" s="116">
        <f>IF(A108="","",MAX((E108/2)-G108,0))</f>
        <v/>
      </c>
      <c r="J108" s="117">
        <f>IF(OR(A108="",E108=0),"",I108/(E108/2))</f>
        <v/>
      </c>
      <c r="K108" s="116">
        <f>IF(A108="","",MAX((F108/2)-H108,0))</f>
        <v/>
      </c>
      <c r="L108" s="117">
        <f>IF(OR(A108="",F108=0),"",K108/(F108/2))</f>
        <v/>
      </c>
      <c r="M108" s="128" t="n"/>
      <c r="N108" s="128" t="n"/>
      <c r="O108" s="116">
        <f>IF(A108="","",MAX((M108/3)-N108,0))</f>
        <v/>
      </c>
      <c r="P108" s="117">
        <f>IF(OR(A108="",M108=0),"",O108/(M108/3))</f>
        <v/>
      </c>
      <c r="Q108" s="116">
        <f>IF(A108="","",C108*1508)</f>
        <v/>
      </c>
      <c r="R108" s="128" t="n"/>
      <c r="S108" s="128" t="n"/>
      <c r="T108" s="117">
        <f>IF(OR(A108="",R108=0),"",MAX(R108-S108,0)/R108)</f>
        <v/>
      </c>
      <c r="U108" s="128" t="n"/>
      <c r="V108" s="128" t="n"/>
      <c r="W108" s="117">
        <f>IF(OR(A108="",U108=0),"",MAX(U108-V108,0)/U108)</f>
        <v/>
      </c>
      <c r="X108" s="128" t="n"/>
      <c r="Y108" s="128" t="n"/>
      <c r="Z108" s="117">
        <f>IF(OR(A108="",X108=0),"",MAX(X108-Y108,0)/X108)</f>
        <v/>
      </c>
      <c r="AA108" s="128" t="n"/>
      <c r="AB108" s="128" t="n"/>
      <c r="AC108" s="117">
        <f>IF(OR(A108="",AA108=0),"",MAX(AA108-AB108,0)/AA108)</f>
        <v/>
      </c>
      <c r="AD108" s="128" t="n"/>
      <c r="AE108" s="128" t="n"/>
      <c r="AF108" s="117">
        <f>IF(OR(A108="",AD108=0),"",MAX(AD108-AE108,0)/AD108)</f>
        <v/>
      </c>
      <c r="AG108" s="54">
        <f>IF(A108="",0,(B108*40)+(C108*40))</f>
        <v/>
      </c>
      <c r="AH108" s="54">
        <f>IF(A108="",0,(B108*100)+(C108*0))</f>
        <v/>
      </c>
      <c r="AI108" s="54">
        <f>IF(A108="",0,(B108*10)+(C108*0))</f>
        <v/>
      </c>
      <c r="AJ108" s="54">
        <f>IF(A108="",0,(B108*50)+(C108*0))</f>
        <v/>
      </c>
      <c r="AK108" s="54">
        <f>IF(A108="",0,(B108*20)+(C108*0))</f>
        <v/>
      </c>
      <c r="AL108" s="54">
        <f>IF(A108="",0,(B108*60)+(C108*0))</f>
        <v/>
      </c>
      <c r="AM108" s="54">
        <f>IF(A108="",0,(B108*4)+(C108*4))</f>
        <v/>
      </c>
      <c r="AN108" s="54">
        <f>IF(A108="",0,(B108*4)+(C108*4))</f>
        <v/>
      </c>
      <c r="AO108" s="54">
        <f>IF(A108="",0,(B108*6)+(C108*0))</f>
        <v/>
      </c>
      <c r="AP108" s="54">
        <f>IF(A108="",0,(B108*4)+(C108*10))</f>
        <v/>
      </c>
      <c r="AQ108" s="54">
        <f>IF(A108="",0,(B108*65)+(C108*80))</f>
        <v/>
      </c>
      <c r="AR108" s="54">
        <f>IF(A108="",0,(B108*0)+(C108*5))</f>
        <v/>
      </c>
      <c r="AS108" s="54">
        <f>IF(A108="",0,(B108*0)+(C108*50))</f>
        <v/>
      </c>
      <c r="AT108" s="54">
        <f>IF(A108="",0,(G108*25.51+N108*30+S108*7.5)/1000)</f>
        <v/>
      </c>
      <c r="AU108" s="54">
        <f>IF(A108="",0,(H108*21.74+V108*7.5)/1000)</f>
        <v/>
      </c>
      <c r="AV108" s="54">
        <f>IF(A108="",0,(G108*0.71)/1000)</f>
        <v/>
      </c>
      <c r="AW108" s="54">
        <f>IF(A108="",0,(AB108*5)/1000)</f>
        <v/>
      </c>
      <c r="AX108" s="54">
        <f>IF(A108="",0,(Y108*7)/1000)</f>
        <v/>
      </c>
      <c r="AY108" s="54">
        <f>IF(A108="",0,(AE108*7)/1000)</f>
        <v/>
      </c>
      <c r="AZ108" s="54">
        <f>IF(A108="",0,ROUNDUP((H108+N108)/115,0)*1.5)</f>
        <v/>
      </c>
      <c r="BA108" s="54">
        <f>IF(A108="",0,ROUNDUP((H108+N108)/115,0)*20)</f>
        <v/>
      </c>
      <c r="BB108" s="54">
        <f>IF(A108="",0,ROUNDUP((H108+N108)/115,0)*80)</f>
        <v/>
      </c>
      <c r="BC108" s="54">
        <f>IF(A108="",0,ROUNDUP((H108+N108)/115,0)*5)</f>
        <v/>
      </c>
      <c r="BD108" s="54">
        <f>IF(A108="",0,ROUNDUP((H108+N108)/115,0)*2.5)</f>
        <v/>
      </c>
    </row>
    <row r="109">
      <c r="A109" s="127" t="n"/>
      <c r="B109" s="128" t="n"/>
      <c r="C109" s="128" t="n"/>
      <c r="D109" s="116">
        <f>IF(A109="","",B109*1508)</f>
        <v/>
      </c>
      <c r="E109" s="128" t="n"/>
      <c r="F109" s="128" t="n"/>
      <c r="G109" s="128" t="n"/>
      <c r="H109" s="128" t="n"/>
      <c r="I109" s="116">
        <f>IF(A109="","",MAX((E109/2)-G109,0))</f>
        <v/>
      </c>
      <c r="J109" s="117">
        <f>IF(OR(A109="",E109=0),"",I109/(E109/2))</f>
        <v/>
      </c>
      <c r="K109" s="116">
        <f>IF(A109="","",MAX((F109/2)-H109,0))</f>
        <v/>
      </c>
      <c r="L109" s="117">
        <f>IF(OR(A109="",F109=0),"",K109/(F109/2))</f>
        <v/>
      </c>
      <c r="M109" s="128" t="n"/>
      <c r="N109" s="128" t="n"/>
      <c r="O109" s="116">
        <f>IF(A109="","",MAX((M109/3)-N109,0))</f>
        <v/>
      </c>
      <c r="P109" s="117">
        <f>IF(OR(A109="",M109=0),"",O109/(M109/3))</f>
        <v/>
      </c>
      <c r="Q109" s="116">
        <f>IF(A109="","",C109*1508)</f>
        <v/>
      </c>
      <c r="R109" s="128" t="n"/>
      <c r="S109" s="128" t="n"/>
      <c r="T109" s="117">
        <f>IF(OR(A109="",R109=0),"",MAX(R109-S109,0)/R109)</f>
        <v/>
      </c>
      <c r="U109" s="128" t="n"/>
      <c r="V109" s="128" t="n"/>
      <c r="W109" s="117">
        <f>IF(OR(A109="",U109=0),"",MAX(U109-V109,0)/U109)</f>
        <v/>
      </c>
      <c r="X109" s="128" t="n"/>
      <c r="Y109" s="128" t="n"/>
      <c r="Z109" s="117">
        <f>IF(OR(A109="",X109=0),"",MAX(X109-Y109,0)/X109)</f>
        <v/>
      </c>
      <c r="AA109" s="128" t="n"/>
      <c r="AB109" s="128" t="n"/>
      <c r="AC109" s="117">
        <f>IF(OR(A109="",AA109=0),"",MAX(AA109-AB109,0)/AA109)</f>
        <v/>
      </c>
      <c r="AD109" s="128" t="n"/>
      <c r="AE109" s="128" t="n"/>
      <c r="AF109" s="117">
        <f>IF(OR(A109="",AD109=0),"",MAX(AD109-AE109,0)/AD109)</f>
        <v/>
      </c>
      <c r="AG109" s="54">
        <f>IF(A109="",0,(B109*40)+(C109*40))</f>
        <v/>
      </c>
      <c r="AH109" s="54">
        <f>IF(A109="",0,(B109*100)+(C109*0))</f>
        <v/>
      </c>
      <c r="AI109" s="54">
        <f>IF(A109="",0,(B109*10)+(C109*0))</f>
        <v/>
      </c>
      <c r="AJ109" s="54">
        <f>IF(A109="",0,(B109*50)+(C109*0))</f>
        <v/>
      </c>
      <c r="AK109" s="54">
        <f>IF(A109="",0,(B109*20)+(C109*0))</f>
        <v/>
      </c>
      <c r="AL109" s="54">
        <f>IF(A109="",0,(B109*60)+(C109*0))</f>
        <v/>
      </c>
      <c r="AM109" s="54">
        <f>IF(A109="",0,(B109*4)+(C109*4))</f>
        <v/>
      </c>
      <c r="AN109" s="54">
        <f>IF(A109="",0,(B109*4)+(C109*4))</f>
        <v/>
      </c>
      <c r="AO109" s="54">
        <f>IF(A109="",0,(B109*6)+(C109*0))</f>
        <v/>
      </c>
      <c r="AP109" s="54">
        <f>IF(A109="",0,(B109*4)+(C109*10))</f>
        <v/>
      </c>
      <c r="AQ109" s="54">
        <f>IF(A109="",0,(B109*65)+(C109*80))</f>
        <v/>
      </c>
      <c r="AR109" s="54">
        <f>IF(A109="",0,(B109*0)+(C109*5))</f>
        <v/>
      </c>
      <c r="AS109" s="54">
        <f>IF(A109="",0,(B109*0)+(C109*50))</f>
        <v/>
      </c>
      <c r="AT109" s="54">
        <f>IF(A109="",0,(G109*25.51+N109*30+S109*7.5)/1000)</f>
        <v/>
      </c>
      <c r="AU109" s="54">
        <f>IF(A109="",0,(H109*21.74+V109*7.5)/1000)</f>
        <v/>
      </c>
      <c r="AV109" s="54">
        <f>IF(A109="",0,(G109*0.71)/1000)</f>
        <v/>
      </c>
      <c r="AW109" s="54">
        <f>IF(A109="",0,(AB109*5)/1000)</f>
        <v/>
      </c>
      <c r="AX109" s="54">
        <f>IF(A109="",0,(Y109*7)/1000)</f>
        <v/>
      </c>
      <c r="AY109" s="54">
        <f>IF(A109="",0,(AE109*7)/1000)</f>
        <v/>
      </c>
      <c r="AZ109" s="54">
        <f>IF(A109="",0,ROUNDUP((H109+N109)/115,0)*1.5)</f>
        <v/>
      </c>
      <c r="BA109" s="54">
        <f>IF(A109="",0,ROUNDUP((H109+N109)/115,0)*20)</f>
        <v/>
      </c>
      <c r="BB109" s="54">
        <f>IF(A109="",0,ROUNDUP((H109+N109)/115,0)*80)</f>
        <v/>
      </c>
      <c r="BC109" s="54">
        <f>IF(A109="",0,ROUNDUP((H109+N109)/115,0)*5)</f>
        <v/>
      </c>
      <c r="BD109" s="54">
        <f>IF(A109="",0,ROUNDUP((H109+N109)/115,0)*2.5)</f>
        <v/>
      </c>
    </row>
    <row r="110">
      <c r="A110" s="127" t="n"/>
      <c r="B110" s="128" t="n"/>
      <c r="C110" s="128" t="n"/>
      <c r="D110" s="116">
        <f>IF(A110="","",B110*1508)</f>
        <v/>
      </c>
      <c r="E110" s="128" t="n"/>
      <c r="F110" s="128" t="n"/>
      <c r="G110" s="128" t="n"/>
      <c r="H110" s="128" t="n"/>
      <c r="I110" s="116">
        <f>IF(A110="","",MAX((E110/2)-G110,0))</f>
        <v/>
      </c>
      <c r="J110" s="117">
        <f>IF(OR(A110="",E110=0),"",I110/(E110/2))</f>
        <v/>
      </c>
      <c r="K110" s="116">
        <f>IF(A110="","",MAX((F110/2)-H110,0))</f>
        <v/>
      </c>
      <c r="L110" s="117">
        <f>IF(OR(A110="",F110=0),"",K110/(F110/2))</f>
        <v/>
      </c>
      <c r="M110" s="128" t="n"/>
      <c r="N110" s="128" t="n"/>
      <c r="O110" s="116">
        <f>IF(A110="","",MAX((M110/3)-N110,0))</f>
        <v/>
      </c>
      <c r="P110" s="117">
        <f>IF(OR(A110="",M110=0),"",O110/(M110/3))</f>
        <v/>
      </c>
      <c r="Q110" s="116">
        <f>IF(A110="","",C110*1508)</f>
        <v/>
      </c>
      <c r="R110" s="128" t="n"/>
      <c r="S110" s="128" t="n"/>
      <c r="T110" s="117">
        <f>IF(OR(A110="",R110=0),"",MAX(R110-S110,0)/R110)</f>
        <v/>
      </c>
      <c r="U110" s="128" t="n"/>
      <c r="V110" s="128" t="n"/>
      <c r="W110" s="117">
        <f>IF(OR(A110="",U110=0),"",MAX(U110-V110,0)/U110)</f>
        <v/>
      </c>
      <c r="X110" s="128" t="n"/>
      <c r="Y110" s="128" t="n"/>
      <c r="Z110" s="117">
        <f>IF(OR(A110="",X110=0),"",MAX(X110-Y110,0)/X110)</f>
        <v/>
      </c>
      <c r="AA110" s="128" t="n"/>
      <c r="AB110" s="128" t="n"/>
      <c r="AC110" s="117">
        <f>IF(OR(A110="",AA110=0),"",MAX(AA110-AB110,0)/AA110)</f>
        <v/>
      </c>
      <c r="AD110" s="128" t="n"/>
      <c r="AE110" s="128" t="n"/>
      <c r="AF110" s="117">
        <f>IF(OR(A110="",AD110=0),"",MAX(AD110-AE110,0)/AD110)</f>
        <v/>
      </c>
      <c r="AG110" s="54">
        <f>IF(A110="",0,(B110*40)+(C110*40))</f>
        <v/>
      </c>
      <c r="AH110" s="54">
        <f>IF(A110="",0,(B110*100)+(C110*0))</f>
        <v/>
      </c>
      <c r="AI110" s="54">
        <f>IF(A110="",0,(B110*10)+(C110*0))</f>
        <v/>
      </c>
      <c r="AJ110" s="54">
        <f>IF(A110="",0,(B110*50)+(C110*0))</f>
        <v/>
      </c>
      <c r="AK110" s="54">
        <f>IF(A110="",0,(B110*20)+(C110*0))</f>
        <v/>
      </c>
      <c r="AL110" s="54">
        <f>IF(A110="",0,(B110*60)+(C110*0))</f>
        <v/>
      </c>
      <c r="AM110" s="54">
        <f>IF(A110="",0,(B110*4)+(C110*4))</f>
        <v/>
      </c>
      <c r="AN110" s="54">
        <f>IF(A110="",0,(B110*4)+(C110*4))</f>
        <v/>
      </c>
      <c r="AO110" s="54">
        <f>IF(A110="",0,(B110*6)+(C110*0))</f>
        <v/>
      </c>
      <c r="AP110" s="54">
        <f>IF(A110="",0,(B110*4)+(C110*10))</f>
        <v/>
      </c>
      <c r="AQ110" s="54">
        <f>IF(A110="",0,(B110*65)+(C110*80))</f>
        <v/>
      </c>
      <c r="AR110" s="54">
        <f>IF(A110="",0,(B110*0)+(C110*5))</f>
        <v/>
      </c>
      <c r="AS110" s="54">
        <f>IF(A110="",0,(B110*0)+(C110*50))</f>
        <v/>
      </c>
      <c r="AT110" s="54">
        <f>IF(A110="",0,(G110*25.51+N110*30+S110*7.5)/1000)</f>
        <v/>
      </c>
      <c r="AU110" s="54">
        <f>IF(A110="",0,(H110*21.74+V110*7.5)/1000)</f>
        <v/>
      </c>
      <c r="AV110" s="54">
        <f>IF(A110="",0,(G110*0.71)/1000)</f>
        <v/>
      </c>
      <c r="AW110" s="54">
        <f>IF(A110="",0,(AB110*5)/1000)</f>
        <v/>
      </c>
      <c r="AX110" s="54">
        <f>IF(A110="",0,(Y110*7)/1000)</f>
        <v/>
      </c>
      <c r="AY110" s="54">
        <f>IF(A110="",0,(AE110*7)/1000)</f>
        <v/>
      </c>
      <c r="AZ110" s="54">
        <f>IF(A110="",0,ROUNDUP((H110+N110)/115,0)*1.5)</f>
        <v/>
      </c>
      <c r="BA110" s="54">
        <f>IF(A110="",0,ROUNDUP((H110+N110)/115,0)*20)</f>
        <v/>
      </c>
      <c r="BB110" s="54">
        <f>IF(A110="",0,ROUNDUP((H110+N110)/115,0)*80)</f>
        <v/>
      </c>
      <c r="BC110" s="54">
        <f>IF(A110="",0,ROUNDUP((H110+N110)/115,0)*5)</f>
        <v/>
      </c>
      <c r="BD110" s="54">
        <f>IF(A110="",0,ROUNDUP((H110+N110)/115,0)*2.5)</f>
        <v/>
      </c>
    </row>
    <row r="111">
      <c r="A111" s="127" t="n"/>
      <c r="B111" s="128" t="n"/>
      <c r="C111" s="128" t="n"/>
      <c r="D111" s="116">
        <f>IF(A111="","",B111*1508)</f>
        <v/>
      </c>
      <c r="E111" s="128" t="n"/>
      <c r="F111" s="128" t="n"/>
      <c r="G111" s="128" t="n"/>
      <c r="H111" s="128" t="n"/>
      <c r="I111" s="116">
        <f>IF(A111="","",MAX((E111/2)-G111,0))</f>
        <v/>
      </c>
      <c r="J111" s="117">
        <f>IF(OR(A111="",E111=0),"",I111/(E111/2))</f>
        <v/>
      </c>
      <c r="K111" s="116">
        <f>IF(A111="","",MAX((F111/2)-H111,0))</f>
        <v/>
      </c>
      <c r="L111" s="117">
        <f>IF(OR(A111="",F111=0),"",K111/(F111/2))</f>
        <v/>
      </c>
      <c r="M111" s="128" t="n"/>
      <c r="N111" s="128" t="n"/>
      <c r="O111" s="116">
        <f>IF(A111="","",MAX((M111/3)-N111,0))</f>
        <v/>
      </c>
      <c r="P111" s="117">
        <f>IF(OR(A111="",M111=0),"",O111/(M111/3))</f>
        <v/>
      </c>
      <c r="Q111" s="116">
        <f>IF(A111="","",C111*1508)</f>
        <v/>
      </c>
      <c r="R111" s="128" t="n"/>
      <c r="S111" s="128" t="n"/>
      <c r="T111" s="117">
        <f>IF(OR(A111="",R111=0),"",MAX(R111-S111,0)/R111)</f>
        <v/>
      </c>
      <c r="U111" s="128" t="n"/>
      <c r="V111" s="128" t="n"/>
      <c r="W111" s="117">
        <f>IF(OR(A111="",U111=0),"",MAX(U111-V111,0)/U111)</f>
        <v/>
      </c>
      <c r="X111" s="128" t="n"/>
      <c r="Y111" s="128" t="n"/>
      <c r="Z111" s="117">
        <f>IF(OR(A111="",X111=0),"",MAX(X111-Y111,0)/X111)</f>
        <v/>
      </c>
      <c r="AA111" s="128" t="n"/>
      <c r="AB111" s="128" t="n"/>
      <c r="AC111" s="117">
        <f>IF(OR(A111="",AA111=0),"",MAX(AA111-AB111,0)/AA111)</f>
        <v/>
      </c>
      <c r="AD111" s="128" t="n"/>
      <c r="AE111" s="128" t="n"/>
      <c r="AF111" s="117">
        <f>IF(OR(A111="",AD111=0),"",MAX(AD111-AE111,0)/AD111)</f>
        <v/>
      </c>
      <c r="AG111" s="54">
        <f>IF(A111="",0,(B111*40)+(C111*40))</f>
        <v/>
      </c>
      <c r="AH111" s="54">
        <f>IF(A111="",0,(B111*100)+(C111*0))</f>
        <v/>
      </c>
      <c r="AI111" s="54">
        <f>IF(A111="",0,(B111*10)+(C111*0))</f>
        <v/>
      </c>
      <c r="AJ111" s="54">
        <f>IF(A111="",0,(B111*50)+(C111*0))</f>
        <v/>
      </c>
      <c r="AK111" s="54">
        <f>IF(A111="",0,(B111*20)+(C111*0))</f>
        <v/>
      </c>
      <c r="AL111" s="54">
        <f>IF(A111="",0,(B111*60)+(C111*0))</f>
        <v/>
      </c>
      <c r="AM111" s="54">
        <f>IF(A111="",0,(B111*4)+(C111*4))</f>
        <v/>
      </c>
      <c r="AN111" s="54">
        <f>IF(A111="",0,(B111*4)+(C111*4))</f>
        <v/>
      </c>
      <c r="AO111" s="54">
        <f>IF(A111="",0,(B111*6)+(C111*0))</f>
        <v/>
      </c>
      <c r="AP111" s="54">
        <f>IF(A111="",0,(B111*4)+(C111*10))</f>
        <v/>
      </c>
      <c r="AQ111" s="54">
        <f>IF(A111="",0,(B111*65)+(C111*80))</f>
        <v/>
      </c>
      <c r="AR111" s="54">
        <f>IF(A111="",0,(B111*0)+(C111*5))</f>
        <v/>
      </c>
      <c r="AS111" s="54">
        <f>IF(A111="",0,(B111*0)+(C111*50))</f>
        <v/>
      </c>
      <c r="AT111" s="54">
        <f>IF(A111="",0,(G111*25.51+N111*30+S111*7.5)/1000)</f>
        <v/>
      </c>
      <c r="AU111" s="54">
        <f>IF(A111="",0,(H111*21.74+V111*7.5)/1000)</f>
        <v/>
      </c>
      <c r="AV111" s="54">
        <f>IF(A111="",0,(G111*0.71)/1000)</f>
        <v/>
      </c>
      <c r="AW111" s="54">
        <f>IF(A111="",0,(AB111*5)/1000)</f>
        <v/>
      </c>
      <c r="AX111" s="54">
        <f>IF(A111="",0,(Y111*7)/1000)</f>
        <v/>
      </c>
      <c r="AY111" s="54">
        <f>IF(A111="",0,(AE111*7)/1000)</f>
        <v/>
      </c>
      <c r="AZ111" s="54">
        <f>IF(A111="",0,ROUNDUP((H111+N111)/115,0)*1.5)</f>
        <v/>
      </c>
      <c r="BA111" s="54">
        <f>IF(A111="",0,ROUNDUP((H111+N111)/115,0)*20)</f>
        <v/>
      </c>
      <c r="BB111" s="54">
        <f>IF(A111="",0,ROUNDUP((H111+N111)/115,0)*80)</f>
        <v/>
      </c>
      <c r="BC111" s="54">
        <f>IF(A111="",0,ROUNDUP((H111+N111)/115,0)*5)</f>
        <v/>
      </c>
      <c r="BD111" s="54">
        <f>IF(A111="",0,ROUNDUP((H111+N111)/115,0)*2.5)</f>
        <v/>
      </c>
    </row>
    <row r="112">
      <c r="A112" s="127" t="n"/>
      <c r="B112" s="128" t="n"/>
      <c r="C112" s="128" t="n"/>
      <c r="D112" s="116">
        <f>IF(A112="","",B112*1508)</f>
        <v/>
      </c>
      <c r="E112" s="128" t="n"/>
      <c r="F112" s="128" t="n"/>
      <c r="G112" s="128" t="n"/>
      <c r="H112" s="128" t="n"/>
      <c r="I112" s="116">
        <f>IF(A112="","",MAX((E112/2)-G112,0))</f>
        <v/>
      </c>
      <c r="J112" s="117">
        <f>IF(OR(A112="",E112=0),"",I112/(E112/2))</f>
        <v/>
      </c>
      <c r="K112" s="116">
        <f>IF(A112="","",MAX((F112/2)-H112,0))</f>
        <v/>
      </c>
      <c r="L112" s="117">
        <f>IF(OR(A112="",F112=0),"",K112/(F112/2))</f>
        <v/>
      </c>
      <c r="M112" s="128" t="n"/>
      <c r="N112" s="128" t="n"/>
      <c r="O112" s="116">
        <f>IF(A112="","",MAX((M112/3)-N112,0))</f>
        <v/>
      </c>
      <c r="P112" s="117">
        <f>IF(OR(A112="",M112=0),"",O112/(M112/3))</f>
        <v/>
      </c>
      <c r="Q112" s="116">
        <f>IF(A112="","",C112*1508)</f>
        <v/>
      </c>
      <c r="R112" s="128" t="n"/>
      <c r="S112" s="128" t="n"/>
      <c r="T112" s="117">
        <f>IF(OR(A112="",R112=0),"",MAX(R112-S112,0)/R112)</f>
        <v/>
      </c>
      <c r="U112" s="128" t="n"/>
      <c r="V112" s="128" t="n"/>
      <c r="W112" s="117">
        <f>IF(OR(A112="",U112=0),"",MAX(U112-V112,0)/U112)</f>
        <v/>
      </c>
      <c r="X112" s="128" t="n"/>
      <c r="Y112" s="128" t="n"/>
      <c r="Z112" s="117">
        <f>IF(OR(A112="",X112=0),"",MAX(X112-Y112,0)/X112)</f>
        <v/>
      </c>
      <c r="AA112" s="128" t="n"/>
      <c r="AB112" s="128" t="n"/>
      <c r="AC112" s="117">
        <f>IF(OR(A112="",AA112=0),"",MAX(AA112-AB112,0)/AA112)</f>
        <v/>
      </c>
      <c r="AD112" s="128" t="n"/>
      <c r="AE112" s="128" t="n"/>
      <c r="AF112" s="117">
        <f>IF(OR(A112="",AD112=0),"",MAX(AD112-AE112,0)/AD112)</f>
        <v/>
      </c>
      <c r="AG112" s="54">
        <f>IF(A112="",0,(B112*40)+(C112*40))</f>
        <v/>
      </c>
      <c r="AH112" s="54">
        <f>IF(A112="",0,(B112*100)+(C112*0))</f>
        <v/>
      </c>
      <c r="AI112" s="54">
        <f>IF(A112="",0,(B112*10)+(C112*0))</f>
        <v/>
      </c>
      <c r="AJ112" s="54">
        <f>IF(A112="",0,(B112*50)+(C112*0))</f>
        <v/>
      </c>
      <c r="AK112" s="54">
        <f>IF(A112="",0,(B112*20)+(C112*0))</f>
        <v/>
      </c>
      <c r="AL112" s="54">
        <f>IF(A112="",0,(B112*60)+(C112*0))</f>
        <v/>
      </c>
      <c r="AM112" s="54">
        <f>IF(A112="",0,(B112*4)+(C112*4))</f>
        <v/>
      </c>
      <c r="AN112" s="54">
        <f>IF(A112="",0,(B112*4)+(C112*4))</f>
        <v/>
      </c>
      <c r="AO112" s="54">
        <f>IF(A112="",0,(B112*6)+(C112*0))</f>
        <v/>
      </c>
      <c r="AP112" s="54">
        <f>IF(A112="",0,(B112*4)+(C112*10))</f>
        <v/>
      </c>
      <c r="AQ112" s="54">
        <f>IF(A112="",0,(B112*65)+(C112*80))</f>
        <v/>
      </c>
      <c r="AR112" s="54">
        <f>IF(A112="",0,(B112*0)+(C112*5))</f>
        <v/>
      </c>
      <c r="AS112" s="54">
        <f>IF(A112="",0,(B112*0)+(C112*50))</f>
        <v/>
      </c>
      <c r="AT112" s="54">
        <f>IF(A112="",0,(G112*25.51+N112*30+S112*7.5)/1000)</f>
        <v/>
      </c>
      <c r="AU112" s="54">
        <f>IF(A112="",0,(H112*21.74+V112*7.5)/1000)</f>
        <v/>
      </c>
      <c r="AV112" s="54">
        <f>IF(A112="",0,(G112*0.71)/1000)</f>
        <v/>
      </c>
      <c r="AW112" s="54">
        <f>IF(A112="",0,(AB112*5)/1000)</f>
        <v/>
      </c>
      <c r="AX112" s="54">
        <f>IF(A112="",0,(Y112*7)/1000)</f>
        <v/>
      </c>
      <c r="AY112" s="54">
        <f>IF(A112="",0,(AE112*7)/1000)</f>
        <v/>
      </c>
      <c r="AZ112" s="54">
        <f>IF(A112="",0,ROUNDUP((H112+N112)/115,0)*1.5)</f>
        <v/>
      </c>
      <c r="BA112" s="54">
        <f>IF(A112="",0,ROUNDUP((H112+N112)/115,0)*20)</f>
        <v/>
      </c>
      <c r="BB112" s="54">
        <f>IF(A112="",0,ROUNDUP((H112+N112)/115,0)*80)</f>
        <v/>
      </c>
      <c r="BC112" s="54">
        <f>IF(A112="",0,ROUNDUP((H112+N112)/115,0)*5)</f>
        <v/>
      </c>
      <c r="BD112" s="54">
        <f>IF(A112="",0,ROUNDUP((H112+N112)/115,0)*2.5)</f>
        <v/>
      </c>
    </row>
    <row r="113">
      <c r="A113" s="127" t="n"/>
      <c r="B113" s="128" t="n"/>
      <c r="C113" s="128" t="n"/>
      <c r="D113" s="116">
        <f>IF(A113="","",B113*1508)</f>
        <v/>
      </c>
      <c r="E113" s="128" t="n"/>
      <c r="F113" s="128" t="n"/>
      <c r="G113" s="128" t="n"/>
      <c r="H113" s="128" t="n"/>
      <c r="I113" s="116">
        <f>IF(A113="","",MAX((E113/2)-G113,0))</f>
        <v/>
      </c>
      <c r="J113" s="117">
        <f>IF(OR(A113="",E113=0),"",I113/(E113/2))</f>
        <v/>
      </c>
      <c r="K113" s="116">
        <f>IF(A113="","",MAX((F113/2)-H113,0))</f>
        <v/>
      </c>
      <c r="L113" s="117">
        <f>IF(OR(A113="",F113=0),"",K113/(F113/2))</f>
        <v/>
      </c>
      <c r="M113" s="128" t="n"/>
      <c r="N113" s="128" t="n"/>
      <c r="O113" s="116">
        <f>IF(A113="","",MAX((M113/3)-N113,0))</f>
        <v/>
      </c>
      <c r="P113" s="117">
        <f>IF(OR(A113="",M113=0),"",O113/(M113/3))</f>
        <v/>
      </c>
      <c r="Q113" s="116">
        <f>IF(A113="","",C113*1508)</f>
        <v/>
      </c>
      <c r="R113" s="128" t="n"/>
      <c r="S113" s="128" t="n"/>
      <c r="T113" s="117">
        <f>IF(OR(A113="",R113=0),"",MAX(R113-S113,0)/R113)</f>
        <v/>
      </c>
      <c r="U113" s="128" t="n"/>
      <c r="V113" s="128" t="n"/>
      <c r="W113" s="117">
        <f>IF(OR(A113="",U113=0),"",MAX(U113-V113,0)/U113)</f>
        <v/>
      </c>
      <c r="X113" s="128" t="n"/>
      <c r="Y113" s="128" t="n"/>
      <c r="Z113" s="117">
        <f>IF(OR(A113="",X113=0),"",MAX(X113-Y113,0)/X113)</f>
        <v/>
      </c>
      <c r="AA113" s="128" t="n"/>
      <c r="AB113" s="128" t="n"/>
      <c r="AC113" s="117">
        <f>IF(OR(A113="",AA113=0),"",MAX(AA113-AB113,0)/AA113)</f>
        <v/>
      </c>
      <c r="AD113" s="128" t="n"/>
      <c r="AE113" s="128" t="n"/>
      <c r="AF113" s="117">
        <f>IF(OR(A113="",AD113=0),"",MAX(AD113-AE113,0)/AD113)</f>
        <v/>
      </c>
      <c r="AG113" s="54">
        <f>IF(A113="",0,(B113*40)+(C113*40))</f>
        <v/>
      </c>
      <c r="AH113" s="54">
        <f>IF(A113="",0,(B113*100)+(C113*0))</f>
        <v/>
      </c>
      <c r="AI113" s="54">
        <f>IF(A113="",0,(B113*10)+(C113*0))</f>
        <v/>
      </c>
      <c r="AJ113" s="54">
        <f>IF(A113="",0,(B113*50)+(C113*0))</f>
        <v/>
      </c>
      <c r="AK113" s="54">
        <f>IF(A113="",0,(B113*20)+(C113*0))</f>
        <v/>
      </c>
      <c r="AL113" s="54">
        <f>IF(A113="",0,(B113*60)+(C113*0))</f>
        <v/>
      </c>
      <c r="AM113" s="54">
        <f>IF(A113="",0,(B113*4)+(C113*4))</f>
        <v/>
      </c>
      <c r="AN113" s="54">
        <f>IF(A113="",0,(B113*4)+(C113*4))</f>
        <v/>
      </c>
      <c r="AO113" s="54">
        <f>IF(A113="",0,(B113*6)+(C113*0))</f>
        <v/>
      </c>
      <c r="AP113" s="54">
        <f>IF(A113="",0,(B113*4)+(C113*10))</f>
        <v/>
      </c>
      <c r="AQ113" s="54">
        <f>IF(A113="",0,(B113*65)+(C113*80))</f>
        <v/>
      </c>
      <c r="AR113" s="54">
        <f>IF(A113="",0,(B113*0)+(C113*5))</f>
        <v/>
      </c>
      <c r="AS113" s="54">
        <f>IF(A113="",0,(B113*0)+(C113*50))</f>
        <v/>
      </c>
      <c r="AT113" s="54">
        <f>IF(A113="",0,(G113*25.51+N113*30+S113*7.5)/1000)</f>
        <v/>
      </c>
      <c r="AU113" s="54">
        <f>IF(A113="",0,(H113*21.74+V113*7.5)/1000)</f>
        <v/>
      </c>
      <c r="AV113" s="54">
        <f>IF(A113="",0,(G113*0.71)/1000)</f>
        <v/>
      </c>
      <c r="AW113" s="54">
        <f>IF(A113="",0,(AB113*5)/1000)</f>
        <v/>
      </c>
      <c r="AX113" s="54">
        <f>IF(A113="",0,(Y113*7)/1000)</f>
        <v/>
      </c>
      <c r="AY113" s="54">
        <f>IF(A113="",0,(AE113*7)/1000)</f>
        <v/>
      </c>
      <c r="AZ113" s="54">
        <f>IF(A113="",0,ROUNDUP((H113+N113)/115,0)*1.5)</f>
        <v/>
      </c>
      <c r="BA113" s="54">
        <f>IF(A113="",0,ROUNDUP((H113+N113)/115,0)*20)</f>
        <v/>
      </c>
      <c r="BB113" s="54">
        <f>IF(A113="",0,ROUNDUP((H113+N113)/115,0)*80)</f>
        <v/>
      </c>
      <c r="BC113" s="54">
        <f>IF(A113="",0,ROUNDUP((H113+N113)/115,0)*5)</f>
        <v/>
      </c>
      <c r="BD113" s="54">
        <f>IF(A113="",0,ROUNDUP((H113+N113)/115,0)*2.5)</f>
        <v/>
      </c>
    </row>
    <row r="114">
      <c r="A114" s="127" t="n"/>
      <c r="B114" s="128" t="n"/>
      <c r="C114" s="128" t="n"/>
      <c r="D114" s="116">
        <f>IF(A114="","",B114*1508)</f>
        <v/>
      </c>
      <c r="E114" s="128" t="n"/>
      <c r="F114" s="128" t="n"/>
      <c r="G114" s="128" t="n"/>
      <c r="H114" s="128" t="n"/>
      <c r="I114" s="116">
        <f>IF(A114="","",MAX((E114/2)-G114,0))</f>
        <v/>
      </c>
      <c r="J114" s="117">
        <f>IF(OR(A114="",E114=0),"",I114/(E114/2))</f>
        <v/>
      </c>
      <c r="K114" s="116">
        <f>IF(A114="","",MAX((F114/2)-H114,0))</f>
        <v/>
      </c>
      <c r="L114" s="117">
        <f>IF(OR(A114="",F114=0),"",K114/(F114/2))</f>
        <v/>
      </c>
      <c r="M114" s="128" t="n"/>
      <c r="N114" s="128" t="n"/>
      <c r="O114" s="116">
        <f>IF(A114="","",MAX((M114/3)-N114,0))</f>
        <v/>
      </c>
      <c r="P114" s="117">
        <f>IF(OR(A114="",M114=0),"",O114/(M114/3))</f>
        <v/>
      </c>
      <c r="Q114" s="116">
        <f>IF(A114="","",C114*1508)</f>
        <v/>
      </c>
      <c r="R114" s="128" t="n"/>
      <c r="S114" s="128" t="n"/>
      <c r="T114" s="117">
        <f>IF(OR(A114="",R114=0),"",MAX(R114-S114,0)/R114)</f>
        <v/>
      </c>
      <c r="U114" s="128" t="n"/>
      <c r="V114" s="128" t="n"/>
      <c r="W114" s="117">
        <f>IF(OR(A114="",U114=0),"",MAX(U114-V114,0)/U114)</f>
        <v/>
      </c>
      <c r="X114" s="128" t="n"/>
      <c r="Y114" s="128" t="n"/>
      <c r="Z114" s="117">
        <f>IF(OR(A114="",X114=0),"",MAX(X114-Y114,0)/X114)</f>
        <v/>
      </c>
      <c r="AA114" s="128" t="n"/>
      <c r="AB114" s="128" t="n"/>
      <c r="AC114" s="117">
        <f>IF(OR(A114="",AA114=0),"",MAX(AA114-AB114,0)/AA114)</f>
        <v/>
      </c>
      <c r="AD114" s="128" t="n"/>
      <c r="AE114" s="128" t="n"/>
      <c r="AF114" s="117">
        <f>IF(OR(A114="",AD114=0),"",MAX(AD114-AE114,0)/AD114)</f>
        <v/>
      </c>
      <c r="AG114" s="54">
        <f>IF(A114="",0,(B114*40)+(C114*40))</f>
        <v/>
      </c>
      <c r="AH114" s="54">
        <f>IF(A114="",0,(B114*100)+(C114*0))</f>
        <v/>
      </c>
      <c r="AI114" s="54">
        <f>IF(A114="",0,(B114*10)+(C114*0))</f>
        <v/>
      </c>
      <c r="AJ114" s="54">
        <f>IF(A114="",0,(B114*50)+(C114*0))</f>
        <v/>
      </c>
      <c r="AK114" s="54">
        <f>IF(A114="",0,(B114*20)+(C114*0))</f>
        <v/>
      </c>
      <c r="AL114" s="54">
        <f>IF(A114="",0,(B114*60)+(C114*0))</f>
        <v/>
      </c>
      <c r="AM114" s="54">
        <f>IF(A114="",0,(B114*4)+(C114*4))</f>
        <v/>
      </c>
      <c r="AN114" s="54">
        <f>IF(A114="",0,(B114*4)+(C114*4))</f>
        <v/>
      </c>
      <c r="AO114" s="54">
        <f>IF(A114="",0,(B114*6)+(C114*0))</f>
        <v/>
      </c>
      <c r="AP114" s="54">
        <f>IF(A114="",0,(B114*4)+(C114*10))</f>
        <v/>
      </c>
      <c r="AQ114" s="54">
        <f>IF(A114="",0,(B114*65)+(C114*80))</f>
        <v/>
      </c>
      <c r="AR114" s="54">
        <f>IF(A114="",0,(B114*0)+(C114*5))</f>
        <v/>
      </c>
      <c r="AS114" s="54">
        <f>IF(A114="",0,(B114*0)+(C114*50))</f>
        <v/>
      </c>
      <c r="AT114" s="54">
        <f>IF(A114="",0,(G114*25.51+N114*30+S114*7.5)/1000)</f>
        <v/>
      </c>
      <c r="AU114" s="54">
        <f>IF(A114="",0,(H114*21.74+V114*7.5)/1000)</f>
        <v/>
      </c>
      <c r="AV114" s="54">
        <f>IF(A114="",0,(G114*0.71)/1000)</f>
        <v/>
      </c>
      <c r="AW114" s="54">
        <f>IF(A114="",0,(AB114*5)/1000)</f>
        <v/>
      </c>
      <c r="AX114" s="54">
        <f>IF(A114="",0,(Y114*7)/1000)</f>
        <v/>
      </c>
      <c r="AY114" s="54">
        <f>IF(A114="",0,(AE114*7)/1000)</f>
        <v/>
      </c>
      <c r="AZ114" s="54">
        <f>IF(A114="",0,ROUNDUP((H114+N114)/115,0)*1.5)</f>
        <v/>
      </c>
      <c r="BA114" s="54">
        <f>IF(A114="",0,ROUNDUP((H114+N114)/115,0)*20)</f>
        <v/>
      </c>
      <c r="BB114" s="54">
        <f>IF(A114="",0,ROUNDUP((H114+N114)/115,0)*80)</f>
        <v/>
      </c>
      <c r="BC114" s="54">
        <f>IF(A114="",0,ROUNDUP((H114+N114)/115,0)*5)</f>
        <v/>
      </c>
      <c r="BD114" s="54">
        <f>IF(A114="",0,ROUNDUP((H114+N114)/115,0)*2.5)</f>
        <v/>
      </c>
    </row>
    <row r="115">
      <c r="A115" s="127" t="n"/>
      <c r="B115" s="128" t="n"/>
      <c r="C115" s="128" t="n"/>
      <c r="D115" s="116">
        <f>IF(A115="","",B115*1508)</f>
        <v/>
      </c>
      <c r="E115" s="128" t="n"/>
      <c r="F115" s="128" t="n"/>
      <c r="G115" s="128" t="n"/>
      <c r="H115" s="128" t="n"/>
      <c r="I115" s="116">
        <f>IF(A115="","",MAX((E115/2)-G115,0))</f>
        <v/>
      </c>
      <c r="J115" s="117">
        <f>IF(OR(A115="",E115=0),"",I115/(E115/2))</f>
        <v/>
      </c>
      <c r="K115" s="116">
        <f>IF(A115="","",MAX((F115/2)-H115,0))</f>
        <v/>
      </c>
      <c r="L115" s="117">
        <f>IF(OR(A115="",F115=0),"",K115/(F115/2))</f>
        <v/>
      </c>
      <c r="M115" s="128" t="n"/>
      <c r="N115" s="128" t="n"/>
      <c r="O115" s="116">
        <f>IF(A115="","",MAX((M115/3)-N115,0))</f>
        <v/>
      </c>
      <c r="P115" s="117">
        <f>IF(OR(A115="",M115=0),"",O115/(M115/3))</f>
        <v/>
      </c>
      <c r="Q115" s="116">
        <f>IF(A115="","",C115*1508)</f>
        <v/>
      </c>
      <c r="R115" s="128" t="n"/>
      <c r="S115" s="128" t="n"/>
      <c r="T115" s="117">
        <f>IF(OR(A115="",R115=0),"",MAX(R115-S115,0)/R115)</f>
        <v/>
      </c>
      <c r="U115" s="128" t="n"/>
      <c r="V115" s="128" t="n"/>
      <c r="W115" s="117">
        <f>IF(OR(A115="",U115=0),"",MAX(U115-V115,0)/U115)</f>
        <v/>
      </c>
      <c r="X115" s="128" t="n"/>
      <c r="Y115" s="128" t="n"/>
      <c r="Z115" s="117">
        <f>IF(OR(A115="",X115=0),"",MAX(X115-Y115,0)/X115)</f>
        <v/>
      </c>
      <c r="AA115" s="128" t="n"/>
      <c r="AB115" s="128" t="n"/>
      <c r="AC115" s="117">
        <f>IF(OR(A115="",AA115=0),"",MAX(AA115-AB115,0)/AA115)</f>
        <v/>
      </c>
      <c r="AD115" s="128" t="n"/>
      <c r="AE115" s="128" t="n"/>
      <c r="AF115" s="117">
        <f>IF(OR(A115="",AD115=0),"",MAX(AD115-AE115,0)/AD115)</f>
        <v/>
      </c>
      <c r="AG115" s="54">
        <f>IF(A115="",0,(B115*40)+(C115*40))</f>
        <v/>
      </c>
      <c r="AH115" s="54">
        <f>IF(A115="",0,(B115*100)+(C115*0))</f>
        <v/>
      </c>
      <c r="AI115" s="54">
        <f>IF(A115="",0,(B115*10)+(C115*0))</f>
        <v/>
      </c>
      <c r="AJ115" s="54">
        <f>IF(A115="",0,(B115*50)+(C115*0))</f>
        <v/>
      </c>
      <c r="AK115" s="54">
        <f>IF(A115="",0,(B115*20)+(C115*0))</f>
        <v/>
      </c>
      <c r="AL115" s="54">
        <f>IF(A115="",0,(B115*60)+(C115*0))</f>
        <v/>
      </c>
      <c r="AM115" s="54">
        <f>IF(A115="",0,(B115*4)+(C115*4))</f>
        <v/>
      </c>
      <c r="AN115" s="54">
        <f>IF(A115="",0,(B115*4)+(C115*4))</f>
        <v/>
      </c>
      <c r="AO115" s="54">
        <f>IF(A115="",0,(B115*6)+(C115*0))</f>
        <v/>
      </c>
      <c r="AP115" s="54">
        <f>IF(A115="",0,(B115*4)+(C115*10))</f>
        <v/>
      </c>
      <c r="AQ115" s="54">
        <f>IF(A115="",0,(B115*65)+(C115*80))</f>
        <v/>
      </c>
      <c r="AR115" s="54">
        <f>IF(A115="",0,(B115*0)+(C115*5))</f>
        <v/>
      </c>
      <c r="AS115" s="54">
        <f>IF(A115="",0,(B115*0)+(C115*50))</f>
        <v/>
      </c>
      <c r="AT115" s="54">
        <f>IF(A115="",0,(G115*25.51+N115*30+S115*7.5)/1000)</f>
        <v/>
      </c>
      <c r="AU115" s="54">
        <f>IF(A115="",0,(H115*21.74+V115*7.5)/1000)</f>
        <v/>
      </c>
      <c r="AV115" s="54">
        <f>IF(A115="",0,(G115*0.71)/1000)</f>
        <v/>
      </c>
      <c r="AW115" s="54">
        <f>IF(A115="",0,(AB115*5)/1000)</f>
        <v/>
      </c>
      <c r="AX115" s="54">
        <f>IF(A115="",0,(Y115*7)/1000)</f>
        <v/>
      </c>
      <c r="AY115" s="54">
        <f>IF(A115="",0,(AE115*7)/1000)</f>
        <v/>
      </c>
      <c r="AZ115" s="54">
        <f>IF(A115="",0,ROUNDUP((H115+N115)/115,0)*1.5)</f>
        <v/>
      </c>
      <c r="BA115" s="54">
        <f>IF(A115="",0,ROUNDUP((H115+N115)/115,0)*20)</f>
        <v/>
      </c>
      <c r="BB115" s="54">
        <f>IF(A115="",0,ROUNDUP((H115+N115)/115,0)*80)</f>
        <v/>
      </c>
      <c r="BC115" s="54">
        <f>IF(A115="",0,ROUNDUP((H115+N115)/115,0)*5)</f>
        <v/>
      </c>
      <c r="BD115" s="54">
        <f>IF(A115="",0,ROUNDUP((H115+N115)/115,0)*2.5)</f>
        <v/>
      </c>
    </row>
    <row r="116">
      <c r="A116" s="127" t="n"/>
      <c r="B116" s="128" t="n"/>
      <c r="C116" s="128" t="n"/>
      <c r="D116" s="116">
        <f>IF(A116="","",B116*1508)</f>
        <v/>
      </c>
      <c r="E116" s="128" t="n"/>
      <c r="F116" s="128" t="n"/>
      <c r="G116" s="128" t="n"/>
      <c r="H116" s="128" t="n"/>
      <c r="I116" s="116">
        <f>IF(A116="","",MAX((E116/2)-G116,0))</f>
        <v/>
      </c>
      <c r="J116" s="117">
        <f>IF(OR(A116="",E116=0),"",I116/(E116/2))</f>
        <v/>
      </c>
      <c r="K116" s="116">
        <f>IF(A116="","",MAX((F116/2)-H116,0))</f>
        <v/>
      </c>
      <c r="L116" s="117">
        <f>IF(OR(A116="",F116=0),"",K116/(F116/2))</f>
        <v/>
      </c>
      <c r="M116" s="128" t="n"/>
      <c r="N116" s="128" t="n"/>
      <c r="O116" s="116">
        <f>IF(A116="","",MAX((M116/3)-N116,0))</f>
        <v/>
      </c>
      <c r="P116" s="117">
        <f>IF(OR(A116="",M116=0),"",O116/(M116/3))</f>
        <v/>
      </c>
      <c r="Q116" s="116">
        <f>IF(A116="","",C116*1508)</f>
        <v/>
      </c>
      <c r="R116" s="128" t="n"/>
      <c r="S116" s="128" t="n"/>
      <c r="T116" s="117">
        <f>IF(OR(A116="",R116=0),"",MAX(R116-S116,0)/R116)</f>
        <v/>
      </c>
      <c r="U116" s="128" t="n"/>
      <c r="V116" s="128" t="n"/>
      <c r="W116" s="117">
        <f>IF(OR(A116="",U116=0),"",MAX(U116-V116,0)/U116)</f>
        <v/>
      </c>
      <c r="X116" s="128" t="n"/>
      <c r="Y116" s="128" t="n"/>
      <c r="Z116" s="117">
        <f>IF(OR(A116="",X116=0),"",MAX(X116-Y116,0)/X116)</f>
        <v/>
      </c>
      <c r="AA116" s="128" t="n"/>
      <c r="AB116" s="128" t="n"/>
      <c r="AC116" s="117">
        <f>IF(OR(A116="",AA116=0),"",MAX(AA116-AB116,0)/AA116)</f>
        <v/>
      </c>
      <c r="AD116" s="128" t="n"/>
      <c r="AE116" s="128" t="n"/>
      <c r="AF116" s="117">
        <f>IF(OR(A116="",AD116=0),"",MAX(AD116-AE116,0)/AD116)</f>
        <v/>
      </c>
      <c r="AG116" s="54">
        <f>IF(A116="",0,(B116*40)+(C116*40))</f>
        <v/>
      </c>
      <c r="AH116" s="54">
        <f>IF(A116="",0,(B116*100)+(C116*0))</f>
        <v/>
      </c>
      <c r="AI116" s="54">
        <f>IF(A116="",0,(B116*10)+(C116*0))</f>
        <v/>
      </c>
      <c r="AJ116" s="54">
        <f>IF(A116="",0,(B116*50)+(C116*0))</f>
        <v/>
      </c>
      <c r="AK116" s="54">
        <f>IF(A116="",0,(B116*20)+(C116*0))</f>
        <v/>
      </c>
      <c r="AL116" s="54">
        <f>IF(A116="",0,(B116*60)+(C116*0))</f>
        <v/>
      </c>
      <c r="AM116" s="54">
        <f>IF(A116="",0,(B116*4)+(C116*4))</f>
        <v/>
      </c>
      <c r="AN116" s="54">
        <f>IF(A116="",0,(B116*4)+(C116*4))</f>
        <v/>
      </c>
      <c r="AO116" s="54">
        <f>IF(A116="",0,(B116*6)+(C116*0))</f>
        <v/>
      </c>
      <c r="AP116" s="54">
        <f>IF(A116="",0,(B116*4)+(C116*10))</f>
        <v/>
      </c>
      <c r="AQ116" s="54">
        <f>IF(A116="",0,(B116*65)+(C116*80))</f>
        <v/>
      </c>
      <c r="AR116" s="54">
        <f>IF(A116="",0,(B116*0)+(C116*5))</f>
        <v/>
      </c>
      <c r="AS116" s="54">
        <f>IF(A116="",0,(B116*0)+(C116*50))</f>
        <v/>
      </c>
      <c r="AT116" s="54">
        <f>IF(A116="",0,(G116*25.51+N116*30+S116*7.5)/1000)</f>
        <v/>
      </c>
      <c r="AU116" s="54">
        <f>IF(A116="",0,(H116*21.74+V116*7.5)/1000)</f>
        <v/>
      </c>
      <c r="AV116" s="54">
        <f>IF(A116="",0,(G116*0.71)/1000)</f>
        <v/>
      </c>
      <c r="AW116" s="54">
        <f>IF(A116="",0,(AB116*5)/1000)</f>
        <v/>
      </c>
      <c r="AX116" s="54">
        <f>IF(A116="",0,(Y116*7)/1000)</f>
        <v/>
      </c>
      <c r="AY116" s="54">
        <f>IF(A116="",0,(AE116*7)/1000)</f>
        <v/>
      </c>
      <c r="AZ116" s="54">
        <f>IF(A116="",0,ROUNDUP((H116+N116)/115,0)*1.5)</f>
        <v/>
      </c>
      <c r="BA116" s="54">
        <f>IF(A116="",0,ROUNDUP((H116+N116)/115,0)*20)</f>
        <v/>
      </c>
      <c r="BB116" s="54">
        <f>IF(A116="",0,ROUNDUP((H116+N116)/115,0)*80)</f>
        <v/>
      </c>
      <c r="BC116" s="54">
        <f>IF(A116="",0,ROUNDUP((H116+N116)/115,0)*5)</f>
        <v/>
      </c>
      <c r="BD116" s="54">
        <f>IF(A116="",0,ROUNDUP((H116+N116)/115,0)*2.5)</f>
        <v/>
      </c>
    </row>
    <row r="117">
      <c r="A117" s="127" t="n"/>
      <c r="B117" s="128" t="n"/>
      <c r="C117" s="128" t="n"/>
      <c r="D117" s="116">
        <f>IF(A117="","",B117*1508)</f>
        <v/>
      </c>
      <c r="E117" s="128" t="n"/>
      <c r="F117" s="128" t="n"/>
      <c r="G117" s="128" t="n"/>
      <c r="H117" s="128" t="n"/>
      <c r="I117" s="116">
        <f>IF(A117="","",MAX((E117/2)-G117,0))</f>
        <v/>
      </c>
      <c r="J117" s="117">
        <f>IF(OR(A117="",E117=0),"",I117/(E117/2))</f>
        <v/>
      </c>
      <c r="K117" s="116">
        <f>IF(A117="","",MAX((F117/2)-H117,0))</f>
        <v/>
      </c>
      <c r="L117" s="117">
        <f>IF(OR(A117="",F117=0),"",K117/(F117/2))</f>
        <v/>
      </c>
      <c r="M117" s="128" t="n"/>
      <c r="N117" s="128" t="n"/>
      <c r="O117" s="116">
        <f>IF(A117="","",MAX((M117/3)-N117,0))</f>
        <v/>
      </c>
      <c r="P117" s="117">
        <f>IF(OR(A117="",M117=0),"",O117/(M117/3))</f>
        <v/>
      </c>
      <c r="Q117" s="116">
        <f>IF(A117="","",C117*1508)</f>
        <v/>
      </c>
      <c r="R117" s="128" t="n"/>
      <c r="S117" s="128" t="n"/>
      <c r="T117" s="117">
        <f>IF(OR(A117="",R117=0),"",MAX(R117-S117,0)/R117)</f>
        <v/>
      </c>
      <c r="U117" s="128" t="n"/>
      <c r="V117" s="128" t="n"/>
      <c r="W117" s="117">
        <f>IF(OR(A117="",U117=0),"",MAX(U117-V117,0)/U117)</f>
        <v/>
      </c>
      <c r="X117" s="128" t="n"/>
      <c r="Y117" s="128" t="n"/>
      <c r="Z117" s="117">
        <f>IF(OR(A117="",X117=0),"",MAX(X117-Y117,0)/X117)</f>
        <v/>
      </c>
      <c r="AA117" s="128" t="n"/>
      <c r="AB117" s="128" t="n"/>
      <c r="AC117" s="117">
        <f>IF(OR(A117="",AA117=0),"",MAX(AA117-AB117,0)/AA117)</f>
        <v/>
      </c>
      <c r="AD117" s="128" t="n"/>
      <c r="AE117" s="128" t="n"/>
      <c r="AF117" s="117">
        <f>IF(OR(A117="",AD117=0),"",MAX(AD117-AE117,0)/AD117)</f>
        <v/>
      </c>
      <c r="AG117" s="54">
        <f>IF(A117="",0,(B117*40)+(C117*40))</f>
        <v/>
      </c>
      <c r="AH117" s="54">
        <f>IF(A117="",0,(B117*100)+(C117*0))</f>
        <v/>
      </c>
      <c r="AI117" s="54">
        <f>IF(A117="",0,(B117*10)+(C117*0))</f>
        <v/>
      </c>
      <c r="AJ117" s="54">
        <f>IF(A117="",0,(B117*50)+(C117*0))</f>
        <v/>
      </c>
      <c r="AK117" s="54">
        <f>IF(A117="",0,(B117*20)+(C117*0))</f>
        <v/>
      </c>
      <c r="AL117" s="54">
        <f>IF(A117="",0,(B117*60)+(C117*0))</f>
        <v/>
      </c>
      <c r="AM117" s="54">
        <f>IF(A117="",0,(B117*4)+(C117*4))</f>
        <v/>
      </c>
      <c r="AN117" s="54">
        <f>IF(A117="",0,(B117*4)+(C117*4))</f>
        <v/>
      </c>
      <c r="AO117" s="54">
        <f>IF(A117="",0,(B117*6)+(C117*0))</f>
        <v/>
      </c>
      <c r="AP117" s="54">
        <f>IF(A117="",0,(B117*4)+(C117*10))</f>
        <v/>
      </c>
      <c r="AQ117" s="54">
        <f>IF(A117="",0,(B117*65)+(C117*80))</f>
        <v/>
      </c>
      <c r="AR117" s="54">
        <f>IF(A117="",0,(B117*0)+(C117*5))</f>
        <v/>
      </c>
      <c r="AS117" s="54">
        <f>IF(A117="",0,(B117*0)+(C117*50))</f>
        <v/>
      </c>
      <c r="AT117" s="54">
        <f>IF(A117="",0,(G117*25.51+N117*30+S117*7.5)/1000)</f>
        <v/>
      </c>
      <c r="AU117" s="54">
        <f>IF(A117="",0,(H117*21.74+V117*7.5)/1000)</f>
        <v/>
      </c>
      <c r="AV117" s="54">
        <f>IF(A117="",0,(G117*0.71)/1000)</f>
        <v/>
      </c>
      <c r="AW117" s="54">
        <f>IF(A117="",0,(AB117*5)/1000)</f>
        <v/>
      </c>
      <c r="AX117" s="54">
        <f>IF(A117="",0,(Y117*7)/1000)</f>
        <v/>
      </c>
      <c r="AY117" s="54">
        <f>IF(A117="",0,(AE117*7)/1000)</f>
        <v/>
      </c>
      <c r="AZ117" s="54">
        <f>IF(A117="",0,ROUNDUP((H117+N117)/115,0)*1.5)</f>
        <v/>
      </c>
      <c r="BA117" s="54">
        <f>IF(A117="",0,ROUNDUP((H117+N117)/115,0)*20)</f>
        <v/>
      </c>
      <c r="BB117" s="54">
        <f>IF(A117="",0,ROUNDUP((H117+N117)/115,0)*80)</f>
        <v/>
      </c>
      <c r="BC117" s="54">
        <f>IF(A117="",0,ROUNDUP((H117+N117)/115,0)*5)</f>
        <v/>
      </c>
      <c r="BD117" s="54">
        <f>IF(A117="",0,ROUNDUP((H117+N117)/115,0)*2.5)</f>
        <v/>
      </c>
    </row>
    <row r="118">
      <c r="A118" s="127" t="n"/>
      <c r="B118" s="128" t="n"/>
      <c r="C118" s="128" t="n"/>
      <c r="D118" s="116">
        <f>IF(A118="","",B118*1508)</f>
        <v/>
      </c>
      <c r="E118" s="128" t="n"/>
      <c r="F118" s="128" t="n"/>
      <c r="G118" s="128" t="n"/>
      <c r="H118" s="128" t="n"/>
      <c r="I118" s="116">
        <f>IF(A118="","",MAX((E118/2)-G118,0))</f>
        <v/>
      </c>
      <c r="J118" s="117">
        <f>IF(OR(A118="",E118=0),"",I118/(E118/2))</f>
        <v/>
      </c>
      <c r="K118" s="116">
        <f>IF(A118="","",MAX((F118/2)-H118,0))</f>
        <v/>
      </c>
      <c r="L118" s="117">
        <f>IF(OR(A118="",F118=0),"",K118/(F118/2))</f>
        <v/>
      </c>
      <c r="M118" s="128" t="n"/>
      <c r="N118" s="128" t="n"/>
      <c r="O118" s="116">
        <f>IF(A118="","",MAX((M118/3)-N118,0))</f>
        <v/>
      </c>
      <c r="P118" s="117">
        <f>IF(OR(A118="",M118=0),"",O118/(M118/3))</f>
        <v/>
      </c>
      <c r="Q118" s="116">
        <f>IF(A118="","",C118*1508)</f>
        <v/>
      </c>
      <c r="R118" s="128" t="n"/>
      <c r="S118" s="128" t="n"/>
      <c r="T118" s="117">
        <f>IF(OR(A118="",R118=0),"",MAX(R118-S118,0)/R118)</f>
        <v/>
      </c>
      <c r="U118" s="128" t="n"/>
      <c r="V118" s="128" t="n"/>
      <c r="W118" s="117">
        <f>IF(OR(A118="",U118=0),"",MAX(U118-V118,0)/U118)</f>
        <v/>
      </c>
      <c r="X118" s="128" t="n"/>
      <c r="Y118" s="128" t="n"/>
      <c r="Z118" s="117">
        <f>IF(OR(A118="",X118=0),"",MAX(X118-Y118,0)/X118)</f>
        <v/>
      </c>
      <c r="AA118" s="128" t="n"/>
      <c r="AB118" s="128" t="n"/>
      <c r="AC118" s="117">
        <f>IF(OR(A118="",AA118=0),"",MAX(AA118-AB118,0)/AA118)</f>
        <v/>
      </c>
      <c r="AD118" s="128" t="n"/>
      <c r="AE118" s="128" t="n"/>
      <c r="AF118" s="117">
        <f>IF(OR(A118="",AD118=0),"",MAX(AD118-AE118,0)/AD118)</f>
        <v/>
      </c>
      <c r="AG118" s="54">
        <f>IF(A118="",0,(B118*40)+(C118*40))</f>
        <v/>
      </c>
      <c r="AH118" s="54">
        <f>IF(A118="",0,(B118*100)+(C118*0))</f>
        <v/>
      </c>
      <c r="AI118" s="54">
        <f>IF(A118="",0,(B118*10)+(C118*0))</f>
        <v/>
      </c>
      <c r="AJ118" s="54">
        <f>IF(A118="",0,(B118*50)+(C118*0))</f>
        <v/>
      </c>
      <c r="AK118" s="54">
        <f>IF(A118="",0,(B118*20)+(C118*0))</f>
        <v/>
      </c>
      <c r="AL118" s="54">
        <f>IF(A118="",0,(B118*60)+(C118*0))</f>
        <v/>
      </c>
      <c r="AM118" s="54">
        <f>IF(A118="",0,(B118*4)+(C118*4))</f>
        <v/>
      </c>
      <c r="AN118" s="54">
        <f>IF(A118="",0,(B118*4)+(C118*4))</f>
        <v/>
      </c>
      <c r="AO118" s="54">
        <f>IF(A118="",0,(B118*6)+(C118*0))</f>
        <v/>
      </c>
      <c r="AP118" s="54">
        <f>IF(A118="",0,(B118*4)+(C118*10))</f>
        <v/>
      </c>
      <c r="AQ118" s="54">
        <f>IF(A118="",0,(B118*65)+(C118*80))</f>
        <v/>
      </c>
      <c r="AR118" s="54">
        <f>IF(A118="",0,(B118*0)+(C118*5))</f>
        <v/>
      </c>
      <c r="AS118" s="54">
        <f>IF(A118="",0,(B118*0)+(C118*50))</f>
        <v/>
      </c>
      <c r="AT118" s="54">
        <f>IF(A118="",0,(G118*25.51+N118*30+S118*7.5)/1000)</f>
        <v/>
      </c>
      <c r="AU118" s="54">
        <f>IF(A118="",0,(H118*21.74+V118*7.5)/1000)</f>
        <v/>
      </c>
      <c r="AV118" s="54">
        <f>IF(A118="",0,(G118*0.71)/1000)</f>
        <v/>
      </c>
      <c r="AW118" s="54">
        <f>IF(A118="",0,(AB118*5)/1000)</f>
        <v/>
      </c>
      <c r="AX118" s="54">
        <f>IF(A118="",0,(Y118*7)/1000)</f>
        <v/>
      </c>
      <c r="AY118" s="54">
        <f>IF(A118="",0,(AE118*7)/1000)</f>
        <v/>
      </c>
      <c r="AZ118" s="54">
        <f>IF(A118="",0,ROUNDUP((H118+N118)/115,0)*1.5)</f>
        <v/>
      </c>
      <c r="BA118" s="54">
        <f>IF(A118="",0,ROUNDUP((H118+N118)/115,0)*20)</f>
        <v/>
      </c>
      <c r="BB118" s="54">
        <f>IF(A118="",0,ROUNDUP((H118+N118)/115,0)*80)</f>
        <v/>
      </c>
      <c r="BC118" s="54">
        <f>IF(A118="",0,ROUNDUP((H118+N118)/115,0)*5)</f>
        <v/>
      </c>
      <c r="BD118" s="54">
        <f>IF(A118="",0,ROUNDUP((H118+N118)/115,0)*2.5)</f>
        <v/>
      </c>
    </row>
    <row r="119">
      <c r="A119" s="127" t="n"/>
      <c r="B119" s="128" t="n"/>
      <c r="C119" s="128" t="n"/>
      <c r="D119" s="116">
        <f>IF(A119="","",B119*1508)</f>
        <v/>
      </c>
      <c r="E119" s="128" t="n"/>
      <c r="F119" s="128" t="n"/>
      <c r="G119" s="128" t="n"/>
      <c r="H119" s="128" t="n"/>
      <c r="I119" s="116">
        <f>IF(A119="","",MAX((E119/2)-G119,0))</f>
        <v/>
      </c>
      <c r="J119" s="117">
        <f>IF(OR(A119="",E119=0),"",I119/(E119/2))</f>
        <v/>
      </c>
      <c r="K119" s="116">
        <f>IF(A119="","",MAX((F119/2)-H119,0))</f>
        <v/>
      </c>
      <c r="L119" s="117">
        <f>IF(OR(A119="",F119=0),"",K119/(F119/2))</f>
        <v/>
      </c>
      <c r="M119" s="128" t="n"/>
      <c r="N119" s="128" t="n"/>
      <c r="O119" s="116">
        <f>IF(A119="","",MAX((M119/3)-N119,0))</f>
        <v/>
      </c>
      <c r="P119" s="117">
        <f>IF(OR(A119="",M119=0),"",O119/(M119/3))</f>
        <v/>
      </c>
      <c r="Q119" s="116">
        <f>IF(A119="","",C119*1508)</f>
        <v/>
      </c>
      <c r="R119" s="128" t="n"/>
      <c r="S119" s="128" t="n"/>
      <c r="T119" s="117">
        <f>IF(OR(A119="",R119=0),"",MAX(R119-S119,0)/R119)</f>
        <v/>
      </c>
      <c r="U119" s="128" t="n"/>
      <c r="V119" s="128" t="n"/>
      <c r="W119" s="117">
        <f>IF(OR(A119="",U119=0),"",MAX(U119-V119,0)/U119)</f>
        <v/>
      </c>
      <c r="X119" s="128" t="n"/>
      <c r="Y119" s="128" t="n"/>
      <c r="Z119" s="117">
        <f>IF(OR(A119="",X119=0),"",MAX(X119-Y119,0)/X119)</f>
        <v/>
      </c>
      <c r="AA119" s="128" t="n"/>
      <c r="AB119" s="128" t="n"/>
      <c r="AC119" s="117">
        <f>IF(OR(A119="",AA119=0),"",MAX(AA119-AB119,0)/AA119)</f>
        <v/>
      </c>
      <c r="AD119" s="128" t="n"/>
      <c r="AE119" s="128" t="n"/>
      <c r="AF119" s="117">
        <f>IF(OR(A119="",AD119=0),"",MAX(AD119-AE119,0)/AD119)</f>
        <v/>
      </c>
      <c r="AG119" s="54">
        <f>IF(A119="",0,(B119*40)+(C119*40))</f>
        <v/>
      </c>
      <c r="AH119" s="54">
        <f>IF(A119="",0,(B119*100)+(C119*0))</f>
        <v/>
      </c>
      <c r="AI119" s="54">
        <f>IF(A119="",0,(B119*10)+(C119*0))</f>
        <v/>
      </c>
      <c r="AJ119" s="54">
        <f>IF(A119="",0,(B119*50)+(C119*0))</f>
        <v/>
      </c>
      <c r="AK119" s="54">
        <f>IF(A119="",0,(B119*20)+(C119*0))</f>
        <v/>
      </c>
      <c r="AL119" s="54">
        <f>IF(A119="",0,(B119*60)+(C119*0))</f>
        <v/>
      </c>
      <c r="AM119" s="54">
        <f>IF(A119="",0,(B119*4)+(C119*4))</f>
        <v/>
      </c>
      <c r="AN119" s="54">
        <f>IF(A119="",0,(B119*4)+(C119*4))</f>
        <v/>
      </c>
      <c r="AO119" s="54">
        <f>IF(A119="",0,(B119*6)+(C119*0))</f>
        <v/>
      </c>
      <c r="AP119" s="54">
        <f>IF(A119="",0,(B119*4)+(C119*10))</f>
        <v/>
      </c>
      <c r="AQ119" s="54">
        <f>IF(A119="",0,(B119*65)+(C119*80))</f>
        <v/>
      </c>
      <c r="AR119" s="54">
        <f>IF(A119="",0,(B119*0)+(C119*5))</f>
        <v/>
      </c>
      <c r="AS119" s="54">
        <f>IF(A119="",0,(B119*0)+(C119*50))</f>
        <v/>
      </c>
      <c r="AT119" s="54">
        <f>IF(A119="",0,(G119*25.51+N119*30+S119*7.5)/1000)</f>
        <v/>
      </c>
      <c r="AU119" s="54">
        <f>IF(A119="",0,(H119*21.74+V119*7.5)/1000)</f>
        <v/>
      </c>
      <c r="AV119" s="54">
        <f>IF(A119="",0,(G119*0.71)/1000)</f>
        <v/>
      </c>
      <c r="AW119" s="54">
        <f>IF(A119="",0,(AB119*5)/1000)</f>
        <v/>
      </c>
      <c r="AX119" s="54">
        <f>IF(A119="",0,(Y119*7)/1000)</f>
        <v/>
      </c>
      <c r="AY119" s="54">
        <f>IF(A119="",0,(AE119*7)/1000)</f>
        <v/>
      </c>
      <c r="AZ119" s="54">
        <f>IF(A119="",0,ROUNDUP((H119+N119)/115,0)*1.5)</f>
        <v/>
      </c>
      <c r="BA119" s="54">
        <f>IF(A119="",0,ROUNDUP((H119+N119)/115,0)*20)</f>
        <v/>
      </c>
      <c r="BB119" s="54">
        <f>IF(A119="",0,ROUNDUP((H119+N119)/115,0)*80)</f>
        <v/>
      </c>
      <c r="BC119" s="54">
        <f>IF(A119="",0,ROUNDUP((H119+N119)/115,0)*5)</f>
        <v/>
      </c>
      <c r="BD119" s="54">
        <f>IF(A119="",0,ROUNDUP((H119+N119)/115,0)*2.5)</f>
        <v/>
      </c>
    </row>
    <row r="120">
      <c r="A120" s="127" t="n"/>
      <c r="B120" s="128" t="n"/>
      <c r="C120" s="128" t="n"/>
      <c r="D120" s="116">
        <f>IF(A120="","",B120*1508)</f>
        <v/>
      </c>
      <c r="E120" s="128" t="n"/>
      <c r="F120" s="128" t="n"/>
      <c r="G120" s="128" t="n"/>
      <c r="H120" s="128" t="n"/>
      <c r="I120" s="116">
        <f>IF(A120="","",MAX((E120/2)-G120,0))</f>
        <v/>
      </c>
      <c r="J120" s="117">
        <f>IF(OR(A120="",E120=0),"",I120/(E120/2))</f>
        <v/>
      </c>
      <c r="K120" s="116">
        <f>IF(A120="","",MAX((F120/2)-H120,0))</f>
        <v/>
      </c>
      <c r="L120" s="117">
        <f>IF(OR(A120="",F120=0),"",K120/(F120/2))</f>
        <v/>
      </c>
      <c r="M120" s="128" t="n"/>
      <c r="N120" s="128" t="n"/>
      <c r="O120" s="116">
        <f>IF(A120="","",MAX((M120/3)-N120,0))</f>
        <v/>
      </c>
      <c r="P120" s="117">
        <f>IF(OR(A120="",M120=0),"",O120/(M120/3))</f>
        <v/>
      </c>
      <c r="Q120" s="116">
        <f>IF(A120="","",C120*1508)</f>
        <v/>
      </c>
      <c r="R120" s="128" t="n"/>
      <c r="S120" s="128" t="n"/>
      <c r="T120" s="117">
        <f>IF(OR(A120="",R120=0),"",MAX(R120-S120,0)/R120)</f>
        <v/>
      </c>
      <c r="U120" s="128" t="n"/>
      <c r="V120" s="128" t="n"/>
      <c r="W120" s="117">
        <f>IF(OR(A120="",U120=0),"",MAX(U120-V120,0)/U120)</f>
        <v/>
      </c>
      <c r="X120" s="128" t="n"/>
      <c r="Y120" s="128" t="n"/>
      <c r="Z120" s="117">
        <f>IF(OR(A120="",X120=0),"",MAX(X120-Y120,0)/X120)</f>
        <v/>
      </c>
      <c r="AA120" s="128" t="n"/>
      <c r="AB120" s="128" t="n"/>
      <c r="AC120" s="117">
        <f>IF(OR(A120="",AA120=0),"",MAX(AA120-AB120,0)/AA120)</f>
        <v/>
      </c>
      <c r="AD120" s="128" t="n"/>
      <c r="AE120" s="128" t="n"/>
      <c r="AF120" s="117">
        <f>IF(OR(A120="",AD120=0),"",MAX(AD120-AE120,0)/AD120)</f>
        <v/>
      </c>
      <c r="AG120" s="54">
        <f>IF(A120="",0,(B120*40)+(C120*40))</f>
        <v/>
      </c>
      <c r="AH120" s="54">
        <f>IF(A120="",0,(B120*100)+(C120*0))</f>
        <v/>
      </c>
      <c r="AI120" s="54">
        <f>IF(A120="",0,(B120*10)+(C120*0))</f>
        <v/>
      </c>
      <c r="AJ120" s="54">
        <f>IF(A120="",0,(B120*50)+(C120*0))</f>
        <v/>
      </c>
      <c r="AK120" s="54">
        <f>IF(A120="",0,(B120*20)+(C120*0))</f>
        <v/>
      </c>
      <c r="AL120" s="54">
        <f>IF(A120="",0,(B120*60)+(C120*0))</f>
        <v/>
      </c>
      <c r="AM120" s="54">
        <f>IF(A120="",0,(B120*4)+(C120*4))</f>
        <v/>
      </c>
      <c r="AN120" s="54">
        <f>IF(A120="",0,(B120*4)+(C120*4))</f>
        <v/>
      </c>
      <c r="AO120" s="54">
        <f>IF(A120="",0,(B120*6)+(C120*0))</f>
        <v/>
      </c>
      <c r="AP120" s="54">
        <f>IF(A120="",0,(B120*4)+(C120*10))</f>
        <v/>
      </c>
      <c r="AQ120" s="54">
        <f>IF(A120="",0,(B120*65)+(C120*80))</f>
        <v/>
      </c>
      <c r="AR120" s="54">
        <f>IF(A120="",0,(B120*0)+(C120*5))</f>
        <v/>
      </c>
      <c r="AS120" s="54">
        <f>IF(A120="",0,(B120*0)+(C120*50))</f>
        <v/>
      </c>
      <c r="AT120" s="54">
        <f>IF(A120="",0,(G120*25.51+N120*30+S120*7.5)/1000)</f>
        <v/>
      </c>
      <c r="AU120" s="54">
        <f>IF(A120="",0,(H120*21.74+V120*7.5)/1000)</f>
        <v/>
      </c>
      <c r="AV120" s="54">
        <f>IF(A120="",0,(G120*0.71)/1000)</f>
        <v/>
      </c>
      <c r="AW120" s="54">
        <f>IF(A120="",0,(AB120*5)/1000)</f>
        <v/>
      </c>
      <c r="AX120" s="54">
        <f>IF(A120="",0,(Y120*7)/1000)</f>
        <v/>
      </c>
      <c r="AY120" s="54">
        <f>IF(A120="",0,(AE120*7)/1000)</f>
        <v/>
      </c>
      <c r="AZ120" s="54">
        <f>IF(A120="",0,ROUNDUP((H120+N120)/115,0)*1.5)</f>
        <v/>
      </c>
      <c r="BA120" s="54">
        <f>IF(A120="",0,ROUNDUP((H120+N120)/115,0)*20)</f>
        <v/>
      </c>
      <c r="BB120" s="54">
        <f>IF(A120="",0,ROUNDUP((H120+N120)/115,0)*80)</f>
        <v/>
      </c>
      <c r="BC120" s="54">
        <f>IF(A120="",0,ROUNDUP((H120+N120)/115,0)*5)</f>
        <v/>
      </c>
      <c r="BD120" s="54">
        <f>IF(A120="",0,ROUNDUP((H120+N120)/115,0)*2.5)</f>
        <v/>
      </c>
    </row>
    <row r="121">
      <c r="A121" s="127" t="n"/>
      <c r="B121" s="128" t="n"/>
      <c r="C121" s="128" t="n"/>
      <c r="D121" s="116">
        <f>IF(A121="","",B121*1508)</f>
        <v/>
      </c>
      <c r="E121" s="128" t="n"/>
      <c r="F121" s="128" t="n"/>
      <c r="G121" s="128" t="n"/>
      <c r="H121" s="128" t="n"/>
      <c r="I121" s="116">
        <f>IF(A121="","",MAX((E121/2)-G121,0))</f>
        <v/>
      </c>
      <c r="J121" s="117">
        <f>IF(OR(A121="",E121=0),"",I121/(E121/2))</f>
        <v/>
      </c>
      <c r="K121" s="116">
        <f>IF(A121="","",MAX((F121/2)-H121,0))</f>
        <v/>
      </c>
      <c r="L121" s="117">
        <f>IF(OR(A121="",F121=0),"",K121/(F121/2))</f>
        <v/>
      </c>
      <c r="M121" s="128" t="n"/>
      <c r="N121" s="128" t="n"/>
      <c r="O121" s="116">
        <f>IF(A121="","",MAX((M121/3)-N121,0))</f>
        <v/>
      </c>
      <c r="P121" s="117">
        <f>IF(OR(A121="",M121=0),"",O121/(M121/3))</f>
        <v/>
      </c>
      <c r="Q121" s="116">
        <f>IF(A121="","",C121*1508)</f>
        <v/>
      </c>
      <c r="R121" s="128" t="n"/>
      <c r="S121" s="128" t="n"/>
      <c r="T121" s="117">
        <f>IF(OR(A121="",R121=0),"",MAX(R121-S121,0)/R121)</f>
        <v/>
      </c>
      <c r="U121" s="128" t="n"/>
      <c r="V121" s="128" t="n"/>
      <c r="W121" s="117">
        <f>IF(OR(A121="",U121=0),"",MAX(U121-V121,0)/U121)</f>
        <v/>
      </c>
      <c r="X121" s="128" t="n"/>
      <c r="Y121" s="128" t="n"/>
      <c r="Z121" s="117">
        <f>IF(OR(A121="",X121=0),"",MAX(X121-Y121,0)/X121)</f>
        <v/>
      </c>
      <c r="AA121" s="128" t="n"/>
      <c r="AB121" s="128" t="n"/>
      <c r="AC121" s="117">
        <f>IF(OR(A121="",AA121=0),"",MAX(AA121-AB121,0)/AA121)</f>
        <v/>
      </c>
      <c r="AD121" s="128" t="n"/>
      <c r="AE121" s="128" t="n"/>
      <c r="AF121" s="117">
        <f>IF(OR(A121="",AD121=0),"",MAX(AD121-AE121,0)/AD121)</f>
        <v/>
      </c>
      <c r="AG121" s="54">
        <f>IF(A121="",0,(B121*40)+(C121*40))</f>
        <v/>
      </c>
      <c r="AH121" s="54">
        <f>IF(A121="",0,(B121*100)+(C121*0))</f>
        <v/>
      </c>
      <c r="AI121" s="54">
        <f>IF(A121="",0,(B121*10)+(C121*0))</f>
        <v/>
      </c>
      <c r="AJ121" s="54">
        <f>IF(A121="",0,(B121*50)+(C121*0))</f>
        <v/>
      </c>
      <c r="AK121" s="54">
        <f>IF(A121="",0,(B121*20)+(C121*0))</f>
        <v/>
      </c>
      <c r="AL121" s="54">
        <f>IF(A121="",0,(B121*60)+(C121*0))</f>
        <v/>
      </c>
      <c r="AM121" s="54">
        <f>IF(A121="",0,(B121*4)+(C121*4))</f>
        <v/>
      </c>
      <c r="AN121" s="54">
        <f>IF(A121="",0,(B121*4)+(C121*4))</f>
        <v/>
      </c>
      <c r="AO121" s="54">
        <f>IF(A121="",0,(B121*6)+(C121*0))</f>
        <v/>
      </c>
      <c r="AP121" s="54">
        <f>IF(A121="",0,(B121*4)+(C121*10))</f>
        <v/>
      </c>
      <c r="AQ121" s="54">
        <f>IF(A121="",0,(B121*65)+(C121*80))</f>
        <v/>
      </c>
      <c r="AR121" s="54">
        <f>IF(A121="",0,(B121*0)+(C121*5))</f>
        <v/>
      </c>
      <c r="AS121" s="54">
        <f>IF(A121="",0,(B121*0)+(C121*50))</f>
        <v/>
      </c>
      <c r="AT121" s="54">
        <f>IF(A121="",0,(G121*25.51+N121*30+S121*7.5)/1000)</f>
        <v/>
      </c>
      <c r="AU121" s="54">
        <f>IF(A121="",0,(H121*21.74+V121*7.5)/1000)</f>
        <v/>
      </c>
      <c r="AV121" s="54">
        <f>IF(A121="",0,(G121*0.71)/1000)</f>
        <v/>
      </c>
      <c r="AW121" s="54">
        <f>IF(A121="",0,(AB121*5)/1000)</f>
        <v/>
      </c>
      <c r="AX121" s="54">
        <f>IF(A121="",0,(Y121*7)/1000)</f>
        <v/>
      </c>
      <c r="AY121" s="54">
        <f>IF(A121="",0,(AE121*7)/1000)</f>
        <v/>
      </c>
      <c r="AZ121" s="54">
        <f>IF(A121="",0,ROUNDUP((H121+N121)/115,0)*1.5)</f>
        <v/>
      </c>
      <c r="BA121" s="54">
        <f>IF(A121="",0,ROUNDUP((H121+N121)/115,0)*20)</f>
        <v/>
      </c>
      <c r="BB121" s="54">
        <f>IF(A121="",0,ROUNDUP((H121+N121)/115,0)*80)</f>
        <v/>
      </c>
      <c r="BC121" s="54">
        <f>IF(A121="",0,ROUNDUP((H121+N121)/115,0)*5)</f>
        <v/>
      </c>
      <c r="BD121" s="54">
        <f>IF(A121="",0,ROUNDUP((H121+N121)/115,0)*2.5)</f>
        <v/>
      </c>
    </row>
    <row r="122">
      <c r="A122" s="127" t="n"/>
      <c r="B122" s="128" t="n"/>
      <c r="C122" s="128" t="n"/>
      <c r="D122" s="116">
        <f>IF(A122="","",B122*1508)</f>
        <v/>
      </c>
      <c r="E122" s="128" t="n"/>
      <c r="F122" s="128" t="n"/>
      <c r="G122" s="128" t="n"/>
      <c r="H122" s="128" t="n"/>
      <c r="I122" s="116">
        <f>IF(A122="","",MAX((E122/2)-G122,0))</f>
        <v/>
      </c>
      <c r="J122" s="117">
        <f>IF(OR(A122="",E122=0),"",I122/(E122/2))</f>
        <v/>
      </c>
      <c r="K122" s="116">
        <f>IF(A122="","",MAX((F122/2)-H122,0))</f>
        <v/>
      </c>
      <c r="L122" s="117">
        <f>IF(OR(A122="",F122=0),"",K122/(F122/2))</f>
        <v/>
      </c>
      <c r="M122" s="128" t="n"/>
      <c r="N122" s="128" t="n"/>
      <c r="O122" s="116">
        <f>IF(A122="","",MAX((M122/3)-N122,0))</f>
        <v/>
      </c>
      <c r="P122" s="117">
        <f>IF(OR(A122="",M122=0),"",O122/(M122/3))</f>
        <v/>
      </c>
      <c r="Q122" s="116">
        <f>IF(A122="","",C122*1508)</f>
        <v/>
      </c>
      <c r="R122" s="128" t="n"/>
      <c r="S122" s="128" t="n"/>
      <c r="T122" s="117">
        <f>IF(OR(A122="",R122=0),"",MAX(R122-S122,0)/R122)</f>
        <v/>
      </c>
      <c r="U122" s="128" t="n"/>
      <c r="V122" s="128" t="n"/>
      <c r="W122" s="117">
        <f>IF(OR(A122="",U122=0),"",MAX(U122-V122,0)/U122)</f>
        <v/>
      </c>
      <c r="X122" s="128" t="n"/>
      <c r="Y122" s="128" t="n"/>
      <c r="Z122" s="117">
        <f>IF(OR(A122="",X122=0),"",MAX(X122-Y122,0)/X122)</f>
        <v/>
      </c>
      <c r="AA122" s="128" t="n"/>
      <c r="AB122" s="128" t="n"/>
      <c r="AC122" s="117">
        <f>IF(OR(A122="",AA122=0),"",MAX(AA122-AB122,0)/AA122)</f>
        <v/>
      </c>
      <c r="AD122" s="128" t="n"/>
      <c r="AE122" s="128" t="n"/>
      <c r="AF122" s="117">
        <f>IF(OR(A122="",AD122=0),"",MAX(AD122-AE122,0)/AD122)</f>
        <v/>
      </c>
      <c r="AG122" s="54">
        <f>IF(A122="",0,(B122*40)+(C122*40))</f>
        <v/>
      </c>
      <c r="AH122" s="54">
        <f>IF(A122="",0,(B122*100)+(C122*0))</f>
        <v/>
      </c>
      <c r="AI122" s="54">
        <f>IF(A122="",0,(B122*10)+(C122*0))</f>
        <v/>
      </c>
      <c r="AJ122" s="54">
        <f>IF(A122="",0,(B122*50)+(C122*0))</f>
        <v/>
      </c>
      <c r="AK122" s="54">
        <f>IF(A122="",0,(B122*20)+(C122*0))</f>
        <v/>
      </c>
      <c r="AL122" s="54">
        <f>IF(A122="",0,(B122*60)+(C122*0))</f>
        <v/>
      </c>
      <c r="AM122" s="54">
        <f>IF(A122="",0,(B122*4)+(C122*4))</f>
        <v/>
      </c>
      <c r="AN122" s="54">
        <f>IF(A122="",0,(B122*4)+(C122*4))</f>
        <v/>
      </c>
      <c r="AO122" s="54">
        <f>IF(A122="",0,(B122*6)+(C122*0))</f>
        <v/>
      </c>
      <c r="AP122" s="54">
        <f>IF(A122="",0,(B122*4)+(C122*10))</f>
        <v/>
      </c>
      <c r="AQ122" s="54">
        <f>IF(A122="",0,(B122*65)+(C122*80))</f>
        <v/>
      </c>
      <c r="AR122" s="54">
        <f>IF(A122="",0,(B122*0)+(C122*5))</f>
        <v/>
      </c>
      <c r="AS122" s="54">
        <f>IF(A122="",0,(B122*0)+(C122*50))</f>
        <v/>
      </c>
      <c r="AT122" s="54">
        <f>IF(A122="",0,(G122*25.51+N122*30+S122*7.5)/1000)</f>
        <v/>
      </c>
      <c r="AU122" s="54">
        <f>IF(A122="",0,(H122*21.74+V122*7.5)/1000)</f>
        <v/>
      </c>
      <c r="AV122" s="54">
        <f>IF(A122="",0,(G122*0.71)/1000)</f>
        <v/>
      </c>
      <c r="AW122" s="54">
        <f>IF(A122="",0,(AB122*5)/1000)</f>
        <v/>
      </c>
      <c r="AX122" s="54">
        <f>IF(A122="",0,(Y122*7)/1000)</f>
        <v/>
      </c>
      <c r="AY122" s="54">
        <f>IF(A122="",0,(AE122*7)/1000)</f>
        <v/>
      </c>
      <c r="AZ122" s="54">
        <f>IF(A122="",0,ROUNDUP((H122+N122)/115,0)*1.5)</f>
        <v/>
      </c>
      <c r="BA122" s="54">
        <f>IF(A122="",0,ROUNDUP((H122+N122)/115,0)*20)</f>
        <v/>
      </c>
      <c r="BB122" s="54">
        <f>IF(A122="",0,ROUNDUP((H122+N122)/115,0)*80)</f>
        <v/>
      </c>
      <c r="BC122" s="54">
        <f>IF(A122="",0,ROUNDUP((H122+N122)/115,0)*5)</f>
        <v/>
      </c>
      <c r="BD122" s="54">
        <f>IF(A122="",0,ROUNDUP((H122+N122)/115,0)*2.5)</f>
        <v/>
      </c>
    </row>
    <row r="123">
      <c r="A123" s="127" t="n"/>
      <c r="B123" s="128" t="n"/>
      <c r="C123" s="128" t="n"/>
      <c r="D123" s="116">
        <f>IF(A123="","",B123*1508)</f>
        <v/>
      </c>
      <c r="E123" s="128" t="n"/>
      <c r="F123" s="128" t="n"/>
      <c r="G123" s="128" t="n"/>
      <c r="H123" s="128" t="n"/>
      <c r="I123" s="116">
        <f>IF(A123="","",MAX((E123/2)-G123,0))</f>
        <v/>
      </c>
      <c r="J123" s="117">
        <f>IF(OR(A123="",E123=0),"",I123/(E123/2))</f>
        <v/>
      </c>
      <c r="K123" s="116">
        <f>IF(A123="","",MAX((F123/2)-H123,0))</f>
        <v/>
      </c>
      <c r="L123" s="117">
        <f>IF(OR(A123="",F123=0),"",K123/(F123/2))</f>
        <v/>
      </c>
      <c r="M123" s="128" t="n"/>
      <c r="N123" s="128" t="n"/>
      <c r="O123" s="116">
        <f>IF(A123="","",MAX((M123/3)-N123,0))</f>
        <v/>
      </c>
      <c r="P123" s="117">
        <f>IF(OR(A123="",M123=0),"",O123/(M123/3))</f>
        <v/>
      </c>
      <c r="Q123" s="116">
        <f>IF(A123="","",C123*1508)</f>
        <v/>
      </c>
      <c r="R123" s="128" t="n"/>
      <c r="S123" s="128" t="n"/>
      <c r="T123" s="117">
        <f>IF(OR(A123="",R123=0),"",MAX(R123-S123,0)/R123)</f>
        <v/>
      </c>
      <c r="U123" s="128" t="n"/>
      <c r="V123" s="128" t="n"/>
      <c r="W123" s="117">
        <f>IF(OR(A123="",U123=0),"",MAX(U123-V123,0)/U123)</f>
        <v/>
      </c>
      <c r="X123" s="128" t="n"/>
      <c r="Y123" s="128" t="n"/>
      <c r="Z123" s="117">
        <f>IF(OR(A123="",X123=0),"",MAX(X123-Y123,0)/X123)</f>
        <v/>
      </c>
      <c r="AA123" s="128" t="n"/>
      <c r="AB123" s="128" t="n"/>
      <c r="AC123" s="117">
        <f>IF(OR(A123="",AA123=0),"",MAX(AA123-AB123,0)/AA123)</f>
        <v/>
      </c>
      <c r="AD123" s="128" t="n"/>
      <c r="AE123" s="128" t="n"/>
      <c r="AF123" s="117">
        <f>IF(OR(A123="",AD123=0),"",MAX(AD123-AE123,0)/AD123)</f>
        <v/>
      </c>
      <c r="AG123" s="54">
        <f>IF(A123="",0,(B123*40)+(C123*40))</f>
        <v/>
      </c>
      <c r="AH123" s="54">
        <f>IF(A123="",0,(B123*100)+(C123*0))</f>
        <v/>
      </c>
      <c r="AI123" s="54">
        <f>IF(A123="",0,(B123*10)+(C123*0))</f>
        <v/>
      </c>
      <c r="AJ123" s="54">
        <f>IF(A123="",0,(B123*50)+(C123*0))</f>
        <v/>
      </c>
      <c r="AK123" s="54">
        <f>IF(A123="",0,(B123*20)+(C123*0))</f>
        <v/>
      </c>
      <c r="AL123" s="54">
        <f>IF(A123="",0,(B123*60)+(C123*0))</f>
        <v/>
      </c>
      <c r="AM123" s="54">
        <f>IF(A123="",0,(B123*4)+(C123*4))</f>
        <v/>
      </c>
      <c r="AN123" s="54">
        <f>IF(A123="",0,(B123*4)+(C123*4))</f>
        <v/>
      </c>
      <c r="AO123" s="54">
        <f>IF(A123="",0,(B123*6)+(C123*0))</f>
        <v/>
      </c>
      <c r="AP123" s="54">
        <f>IF(A123="",0,(B123*4)+(C123*10))</f>
        <v/>
      </c>
      <c r="AQ123" s="54">
        <f>IF(A123="",0,(B123*65)+(C123*80))</f>
        <v/>
      </c>
      <c r="AR123" s="54">
        <f>IF(A123="",0,(B123*0)+(C123*5))</f>
        <v/>
      </c>
      <c r="AS123" s="54">
        <f>IF(A123="",0,(B123*0)+(C123*50))</f>
        <v/>
      </c>
      <c r="AT123" s="54">
        <f>IF(A123="",0,(G123*25.51+N123*30+S123*7.5)/1000)</f>
        <v/>
      </c>
      <c r="AU123" s="54">
        <f>IF(A123="",0,(H123*21.74+V123*7.5)/1000)</f>
        <v/>
      </c>
      <c r="AV123" s="54">
        <f>IF(A123="",0,(G123*0.71)/1000)</f>
        <v/>
      </c>
      <c r="AW123" s="54">
        <f>IF(A123="",0,(AB123*5)/1000)</f>
        <v/>
      </c>
      <c r="AX123" s="54">
        <f>IF(A123="",0,(Y123*7)/1000)</f>
        <v/>
      </c>
      <c r="AY123" s="54">
        <f>IF(A123="",0,(AE123*7)/1000)</f>
        <v/>
      </c>
      <c r="AZ123" s="54">
        <f>IF(A123="",0,ROUNDUP((H123+N123)/115,0)*1.5)</f>
        <v/>
      </c>
      <c r="BA123" s="54">
        <f>IF(A123="",0,ROUNDUP((H123+N123)/115,0)*20)</f>
        <v/>
      </c>
      <c r="BB123" s="54">
        <f>IF(A123="",0,ROUNDUP((H123+N123)/115,0)*80)</f>
        <v/>
      </c>
      <c r="BC123" s="54">
        <f>IF(A123="",0,ROUNDUP((H123+N123)/115,0)*5)</f>
        <v/>
      </c>
      <c r="BD123" s="54">
        <f>IF(A123="",0,ROUNDUP((H123+N123)/115,0)*2.5)</f>
        <v/>
      </c>
    </row>
    <row r="124">
      <c r="A124" s="127" t="n"/>
      <c r="B124" s="128" t="n"/>
      <c r="C124" s="128" t="n"/>
      <c r="D124" s="116">
        <f>IF(A124="","",B124*1508)</f>
        <v/>
      </c>
      <c r="E124" s="128" t="n"/>
      <c r="F124" s="128" t="n"/>
      <c r="G124" s="128" t="n"/>
      <c r="H124" s="128" t="n"/>
      <c r="I124" s="116">
        <f>IF(A124="","",MAX((E124/2)-G124,0))</f>
        <v/>
      </c>
      <c r="J124" s="117">
        <f>IF(OR(A124="",E124=0),"",I124/(E124/2))</f>
        <v/>
      </c>
      <c r="K124" s="116">
        <f>IF(A124="","",MAX((F124/2)-H124,0))</f>
        <v/>
      </c>
      <c r="L124" s="117">
        <f>IF(OR(A124="",F124=0),"",K124/(F124/2))</f>
        <v/>
      </c>
      <c r="M124" s="128" t="n"/>
      <c r="N124" s="128" t="n"/>
      <c r="O124" s="116">
        <f>IF(A124="","",MAX((M124/3)-N124,0))</f>
        <v/>
      </c>
      <c r="P124" s="117">
        <f>IF(OR(A124="",M124=0),"",O124/(M124/3))</f>
        <v/>
      </c>
      <c r="Q124" s="116">
        <f>IF(A124="","",C124*1508)</f>
        <v/>
      </c>
      <c r="R124" s="128" t="n"/>
      <c r="S124" s="128" t="n"/>
      <c r="T124" s="117">
        <f>IF(OR(A124="",R124=0),"",MAX(R124-S124,0)/R124)</f>
        <v/>
      </c>
      <c r="U124" s="128" t="n"/>
      <c r="V124" s="128" t="n"/>
      <c r="W124" s="117">
        <f>IF(OR(A124="",U124=0),"",MAX(U124-V124,0)/U124)</f>
        <v/>
      </c>
      <c r="X124" s="128" t="n"/>
      <c r="Y124" s="128" t="n"/>
      <c r="Z124" s="117">
        <f>IF(OR(A124="",X124=0),"",MAX(X124-Y124,0)/X124)</f>
        <v/>
      </c>
      <c r="AA124" s="128" t="n"/>
      <c r="AB124" s="128" t="n"/>
      <c r="AC124" s="117">
        <f>IF(OR(A124="",AA124=0),"",MAX(AA124-AB124,0)/AA124)</f>
        <v/>
      </c>
      <c r="AD124" s="128" t="n"/>
      <c r="AE124" s="128" t="n"/>
      <c r="AF124" s="117">
        <f>IF(OR(A124="",AD124=0),"",MAX(AD124-AE124,0)/AD124)</f>
        <v/>
      </c>
      <c r="AG124" s="54">
        <f>IF(A124="",0,(B124*40)+(C124*40))</f>
        <v/>
      </c>
      <c r="AH124" s="54">
        <f>IF(A124="",0,(B124*100)+(C124*0))</f>
        <v/>
      </c>
      <c r="AI124" s="54">
        <f>IF(A124="",0,(B124*10)+(C124*0))</f>
        <v/>
      </c>
      <c r="AJ124" s="54">
        <f>IF(A124="",0,(B124*50)+(C124*0))</f>
        <v/>
      </c>
      <c r="AK124" s="54">
        <f>IF(A124="",0,(B124*20)+(C124*0))</f>
        <v/>
      </c>
      <c r="AL124" s="54">
        <f>IF(A124="",0,(B124*60)+(C124*0))</f>
        <v/>
      </c>
      <c r="AM124" s="54">
        <f>IF(A124="",0,(B124*4)+(C124*4))</f>
        <v/>
      </c>
      <c r="AN124" s="54">
        <f>IF(A124="",0,(B124*4)+(C124*4))</f>
        <v/>
      </c>
      <c r="AO124" s="54">
        <f>IF(A124="",0,(B124*6)+(C124*0))</f>
        <v/>
      </c>
      <c r="AP124" s="54">
        <f>IF(A124="",0,(B124*4)+(C124*10))</f>
        <v/>
      </c>
      <c r="AQ124" s="54">
        <f>IF(A124="",0,(B124*65)+(C124*80))</f>
        <v/>
      </c>
      <c r="AR124" s="54">
        <f>IF(A124="",0,(B124*0)+(C124*5))</f>
        <v/>
      </c>
      <c r="AS124" s="54">
        <f>IF(A124="",0,(B124*0)+(C124*50))</f>
        <v/>
      </c>
      <c r="AT124" s="54">
        <f>IF(A124="",0,(G124*25.51+N124*30+S124*7.5)/1000)</f>
        <v/>
      </c>
      <c r="AU124" s="54">
        <f>IF(A124="",0,(H124*21.74+V124*7.5)/1000)</f>
        <v/>
      </c>
      <c r="AV124" s="54">
        <f>IF(A124="",0,(G124*0.71)/1000)</f>
        <v/>
      </c>
      <c r="AW124" s="54">
        <f>IF(A124="",0,(AB124*5)/1000)</f>
        <v/>
      </c>
      <c r="AX124" s="54">
        <f>IF(A124="",0,(Y124*7)/1000)</f>
        <v/>
      </c>
      <c r="AY124" s="54">
        <f>IF(A124="",0,(AE124*7)/1000)</f>
        <v/>
      </c>
      <c r="AZ124" s="54">
        <f>IF(A124="",0,ROUNDUP((H124+N124)/115,0)*1.5)</f>
        <v/>
      </c>
      <c r="BA124" s="54">
        <f>IF(A124="",0,ROUNDUP((H124+N124)/115,0)*20)</f>
        <v/>
      </c>
      <c r="BB124" s="54">
        <f>IF(A124="",0,ROUNDUP((H124+N124)/115,0)*80)</f>
        <v/>
      </c>
      <c r="BC124" s="54">
        <f>IF(A124="",0,ROUNDUP((H124+N124)/115,0)*5)</f>
        <v/>
      </c>
      <c r="BD124" s="54">
        <f>IF(A124="",0,ROUNDUP((H124+N124)/115,0)*2.5)</f>
        <v/>
      </c>
    </row>
    <row r="125">
      <c r="A125" s="127" t="n"/>
      <c r="B125" s="128" t="n"/>
      <c r="C125" s="128" t="n"/>
      <c r="D125" s="116">
        <f>IF(A125="","",B125*1508)</f>
        <v/>
      </c>
      <c r="E125" s="128" t="n"/>
      <c r="F125" s="128" t="n"/>
      <c r="G125" s="128" t="n"/>
      <c r="H125" s="128" t="n"/>
      <c r="I125" s="116">
        <f>IF(A125="","",MAX((E125/2)-G125,0))</f>
        <v/>
      </c>
      <c r="J125" s="117">
        <f>IF(OR(A125="",E125=0),"",I125/(E125/2))</f>
        <v/>
      </c>
      <c r="K125" s="116">
        <f>IF(A125="","",MAX((F125/2)-H125,0))</f>
        <v/>
      </c>
      <c r="L125" s="117">
        <f>IF(OR(A125="",F125=0),"",K125/(F125/2))</f>
        <v/>
      </c>
      <c r="M125" s="128" t="n"/>
      <c r="N125" s="128" t="n"/>
      <c r="O125" s="116">
        <f>IF(A125="","",MAX((M125/3)-N125,0))</f>
        <v/>
      </c>
      <c r="P125" s="117">
        <f>IF(OR(A125="",M125=0),"",O125/(M125/3))</f>
        <v/>
      </c>
      <c r="Q125" s="116">
        <f>IF(A125="","",C125*1508)</f>
        <v/>
      </c>
      <c r="R125" s="128" t="n"/>
      <c r="S125" s="128" t="n"/>
      <c r="T125" s="117">
        <f>IF(OR(A125="",R125=0),"",MAX(R125-S125,0)/R125)</f>
        <v/>
      </c>
      <c r="U125" s="128" t="n"/>
      <c r="V125" s="128" t="n"/>
      <c r="W125" s="117">
        <f>IF(OR(A125="",U125=0),"",MAX(U125-V125,0)/U125)</f>
        <v/>
      </c>
      <c r="X125" s="128" t="n"/>
      <c r="Y125" s="128" t="n"/>
      <c r="Z125" s="117">
        <f>IF(OR(A125="",X125=0),"",MAX(X125-Y125,0)/X125)</f>
        <v/>
      </c>
      <c r="AA125" s="128" t="n"/>
      <c r="AB125" s="128" t="n"/>
      <c r="AC125" s="117">
        <f>IF(OR(A125="",AA125=0),"",MAX(AA125-AB125,0)/AA125)</f>
        <v/>
      </c>
      <c r="AD125" s="128" t="n"/>
      <c r="AE125" s="128" t="n"/>
      <c r="AF125" s="117">
        <f>IF(OR(A125="",AD125=0),"",MAX(AD125-AE125,0)/AD125)</f>
        <v/>
      </c>
      <c r="AG125" s="54">
        <f>IF(A125="",0,(B125*40)+(C125*40))</f>
        <v/>
      </c>
      <c r="AH125" s="54">
        <f>IF(A125="",0,(B125*100)+(C125*0))</f>
        <v/>
      </c>
      <c r="AI125" s="54">
        <f>IF(A125="",0,(B125*10)+(C125*0))</f>
        <v/>
      </c>
      <c r="AJ125" s="54">
        <f>IF(A125="",0,(B125*50)+(C125*0))</f>
        <v/>
      </c>
      <c r="AK125" s="54">
        <f>IF(A125="",0,(B125*20)+(C125*0))</f>
        <v/>
      </c>
      <c r="AL125" s="54">
        <f>IF(A125="",0,(B125*60)+(C125*0))</f>
        <v/>
      </c>
      <c r="AM125" s="54">
        <f>IF(A125="",0,(B125*4)+(C125*4))</f>
        <v/>
      </c>
      <c r="AN125" s="54">
        <f>IF(A125="",0,(B125*4)+(C125*4))</f>
        <v/>
      </c>
      <c r="AO125" s="54">
        <f>IF(A125="",0,(B125*6)+(C125*0))</f>
        <v/>
      </c>
      <c r="AP125" s="54">
        <f>IF(A125="",0,(B125*4)+(C125*10))</f>
        <v/>
      </c>
      <c r="AQ125" s="54">
        <f>IF(A125="",0,(B125*65)+(C125*80))</f>
        <v/>
      </c>
      <c r="AR125" s="54">
        <f>IF(A125="",0,(B125*0)+(C125*5))</f>
        <v/>
      </c>
      <c r="AS125" s="54">
        <f>IF(A125="",0,(B125*0)+(C125*50))</f>
        <v/>
      </c>
      <c r="AT125" s="54">
        <f>IF(A125="",0,(G125*25.51+N125*30+S125*7.5)/1000)</f>
        <v/>
      </c>
      <c r="AU125" s="54">
        <f>IF(A125="",0,(H125*21.74+V125*7.5)/1000)</f>
        <v/>
      </c>
      <c r="AV125" s="54">
        <f>IF(A125="",0,(G125*0.71)/1000)</f>
        <v/>
      </c>
      <c r="AW125" s="54">
        <f>IF(A125="",0,(AB125*5)/1000)</f>
        <v/>
      </c>
      <c r="AX125" s="54">
        <f>IF(A125="",0,(Y125*7)/1000)</f>
        <v/>
      </c>
      <c r="AY125" s="54">
        <f>IF(A125="",0,(AE125*7)/1000)</f>
        <v/>
      </c>
      <c r="AZ125" s="54">
        <f>IF(A125="",0,ROUNDUP((H125+N125)/115,0)*1.5)</f>
        <v/>
      </c>
      <c r="BA125" s="54">
        <f>IF(A125="",0,ROUNDUP((H125+N125)/115,0)*20)</f>
        <v/>
      </c>
      <c r="BB125" s="54">
        <f>IF(A125="",0,ROUNDUP((H125+N125)/115,0)*80)</f>
        <v/>
      </c>
      <c r="BC125" s="54">
        <f>IF(A125="",0,ROUNDUP((H125+N125)/115,0)*5)</f>
        <v/>
      </c>
      <c r="BD125" s="54">
        <f>IF(A125="",0,ROUNDUP((H125+N125)/115,0)*2.5)</f>
        <v/>
      </c>
    </row>
    <row r="126">
      <c r="A126" s="127" t="n"/>
      <c r="B126" s="128" t="n"/>
      <c r="C126" s="128" t="n"/>
      <c r="D126" s="116">
        <f>IF(A126="","",B126*1508)</f>
        <v/>
      </c>
      <c r="E126" s="128" t="n"/>
      <c r="F126" s="128" t="n"/>
      <c r="G126" s="128" t="n"/>
      <c r="H126" s="128" t="n"/>
      <c r="I126" s="116">
        <f>IF(A126="","",MAX((E126/2)-G126,0))</f>
        <v/>
      </c>
      <c r="J126" s="117">
        <f>IF(OR(A126="",E126=0),"",I126/(E126/2))</f>
        <v/>
      </c>
      <c r="K126" s="116">
        <f>IF(A126="","",MAX((F126/2)-H126,0))</f>
        <v/>
      </c>
      <c r="L126" s="117">
        <f>IF(OR(A126="",F126=0),"",K126/(F126/2))</f>
        <v/>
      </c>
      <c r="M126" s="128" t="n"/>
      <c r="N126" s="128" t="n"/>
      <c r="O126" s="116">
        <f>IF(A126="","",MAX((M126/3)-N126,0))</f>
        <v/>
      </c>
      <c r="P126" s="117">
        <f>IF(OR(A126="",M126=0),"",O126/(M126/3))</f>
        <v/>
      </c>
      <c r="Q126" s="116">
        <f>IF(A126="","",C126*1508)</f>
        <v/>
      </c>
      <c r="R126" s="128" t="n"/>
      <c r="S126" s="128" t="n"/>
      <c r="T126" s="117">
        <f>IF(OR(A126="",R126=0),"",MAX(R126-S126,0)/R126)</f>
        <v/>
      </c>
      <c r="U126" s="128" t="n"/>
      <c r="V126" s="128" t="n"/>
      <c r="W126" s="117">
        <f>IF(OR(A126="",U126=0),"",MAX(U126-V126,0)/U126)</f>
        <v/>
      </c>
      <c r="X126" s="128" t="n"/>
      <c r="Y126" s="128" t="n"/>
      <c r="Z126" s="117">
        <f>IF(OR(A126="",X126=0),"",MAX(X126-Y126,0)/X126)</f>
        <v/>
      </c>
      <c r="AA126" s="128" t="n"/>
      <c r="AB126" s="128" t="n"/>
      <c r="AC126" s="117">
        <f>IF(OR(A126="",AA126=0),"",MAX(AA126-AB126,0)/AA126)</f>
        <v/>
      </c>
      <c r="AD126" s="128" t="n"/>
      <c r="AE126" s="128" t="n"/>
      <c r="AF126" s="117">
        <f>IF(OR(A126="",AD126=0),"",MAX(AD126-AE126,0)/AD126)</f>
        <v/>
      </c>
      <c r="AG126" s="54">
        <f>IF(A126="",0,(B126*40)+(C126*40))</f>
        <v/>
      </c>
      <c r="AH126" s="54">
        <f>IF(A126="",0,(B126*100)+(C126*0))</f>
        <v/>
      </c>
      <c r="AI126" s="54">
        <f>IF(A126="",0,(B126*10)+(C126*0))</f>
        <v/>
      </c>
      <c r="AJ126" s="54">
        <f>IF(A126="",0,(B126*50)+(C126*0))</f>
        <v/>
      </c>
      <c r="AK126" s="54">
        <f>IF(A126="",0,(B126*20)+(C126*0))</f>
        <v/>
      </c>
      <c r="AL126" s="54">
        <f>IF(A126="",0,(B126*60)+(C126*0))</f>
        <v/>
      </c>
      <c r="AM126" s="54">
        <f>IF(A126="",0,(B126*4)+(C126*4))</f>
        <v/>
      </c>
      <c r="AN126" s="54">
        <f>IF(A126="",0,(B126*4)+(C126*4))</f>
        <v/>
      </c>
      <c r="AO126" s="54">
        <f>IF(A126="",0,(B126*6)+(C126*0))</f>
        <v/>
      </c>
      <c r="AP126" s="54">
        <f>IF(A126="",0,(B126*4)+(C126*10))</f>
        <v/>
      </c>
      <c r="AQ126" s="54">
        <f>IF(A126="",0,(B126*65)+(C126*80))</f>
        <v/>
      </c>
      <c r="AR126" s="54">
        <f>IF(A126="",0,(B126*0)+(C126*5))</f>
        <v/>
      </c>
      <c r="AS126" s="54">
        <f>IF(A126="",0,(B126*0)+(C126*50))</f>
        <v/>
      </c>
      <c r="AT126" s="54">
        <f>IF(A126="",0,(G126*25.51+N126*30+S126*7.5)/1000)</f>
        <v/>
      </c>
      <c r="AU126" s="54">
        <f>IF(A126="",0,(H126*21.74+V126*7.5)/1000)</f>
        <v/>
      </c>
      <c r="AV126" s="54">
        <f>IF(A126="",0,(G126*0.71)/1000)</f>
        <v/>
      </c>
      <c r="AW126" s="54">
        <f>IF(A126="",0,(AB126*5)/1000)</f>
        <v/>
      </c>
      <c r="AX126" s="54">
        <f>IF(A126="",0,(Y126*7)/1000)</f>
        <v/>
      </c>
      <c r="AY126" s="54">
        <f>IF(A126="",0,(AE126*7)/1000)</f>
        <v/>
      </c>
      <c r="AZ126" s="54">
        <f>IF(A126="",0,ROUNDUP((H126+N126)/115,0)*1.5)</f>
        <v/>
      </c>
      <c r="BA126" s="54">
        <f>IF(A126="",0,ROUNDUP((H126+N126)/115,0)*20)</f>
        <v/>
      </c>
      <c r="BB126" s="54">
        <f>IF(A126="",0,ROUNDUP((H126+N126)/115,0)*80)</f>
        <v/>
      </c>
      <c r="BC126" s="54">
        <f>IF(A126="",0,ROUNDUP((H126+N126)/115,0)*5)</f>
        <v/>
      </c>
      <c r="BD126" s="54">
        <f>IF(A126="",0,ROUNDUP((H126+N126)/115,0)*2.5)</f>
        <v/>
      </c>
    </row>
    <row r="127">
      <c r="A127" s="127" t="n"/>
      <c r="B127" s="128" t="n"/>
      <c r="C127" s="128" t="n"/>
      <c r="D127" s="116">
        <f>IF(A127="","",B127*1508)</f>
        <v/>
      </c>
      <c r="E127" s="128" t="n"/>
      <c r="F127" s="128" t="n"/>
      <c r="G127" s="128" t="n"/>
      <c r="H127" s="128" t="n"/>
      <c r="I127" s="116">
        <f>IF(A127="","",MAX((E127/2)-G127,0))</f>
        <v/>
      </c>
      <c r="J127" s="117">
        <f>IF(OR(A127="",E127=0),"",I127/(E127/2))</f>
        <v/>
      </c>
      <c r="K127" s="116">
        <f>IF(A127="","",MAX((F127/2)-H127,0))</f>
        <v/>
      </c>
      <c r="L127" s="117">
        <f>IF(OR(A127="",F127=0),"",K127/(F127/2))</f>
        <v/>
      </c>
      <c r="M127" s="128" t="n"/>
      <c r="N127" s="128" t="n"/>
      <c r="O127" s="116">
        <f>IF(A127="","",MAX((M127/3)-N127,0))</f>
        <v/>
      </c>
      <c r="P127" s="117">
        <f>IF(OR(A127="",M127=0),"",O127/(M127/3))</f>
        <v/>
      </c>
      <c r="Q127" s="116">
        <f>IF(A127="","",C127*1508)</f>
        <v/>
      </c>
      <c r="R127" s="128" t="n"/>
      <c r="S127" s="128" t="n"/>
      <c r="T127" s="117">
        <f>IF(OR(A127="",R127=0),"",MAX(R127-S127,0)/R127)</f>
        <v/>
      </c>
      <c r="U127" s="128" t="n"/>
      <c r="V127" s="128" t="n"/>
      <c r="W127" s="117">
        <f>IF(OR(A127="",U127=0),"",MAX(U127-V127,0)/U127)</f>
        <v/>
      </c>
      <c r="X127" s="128" t="n"/>
      <c r="Y127" s="128" t="n"/>
      <c r="Z127" s="117">
        <f>IF(OR(A127="",X127=0),"",MAX(X127-Y127,0)/X127)</f>
        <v/>
      </c>
      <c r="AA127" s="128" t="n"/>
      <c r="AB127" s="128" t="n"/>
      <c r="AC127" s="117">
        <f>IF(OR(A127="",AA127=0),"",MAX(AA127-AB127,0)/AA127)</f>
        <v/>
      </c>
      <c r="AD127" s="128" t="n"/>
      <c r="AE127" s="128" t="n"/>
      <c r="AF127" s="117">
        <f>IF(OR(A127="",AD127=0),"",MAX(AD127-AE127,0)/AD127)</f>
        <v/>
      </c>
      <c r="AG127" s="54">
        <f>IF(A127="",0,(B127*40)+(C127*40))</f>
        <v/>
      </c>
      <c r="AH127" s="54">
        <f>IF(A127="",0,(B127*100)+(C127*0))</f>
        <v/>
      </c>
      <c r="AI127" s="54">
        <f>IF(A127="",0,(B127*10)+(C127*0))</f>
        <v/>
      </c>
      <c r="AJ127" s="54">
        <f>IF(A127="",0,(B127*50)+(C127*0))</f>
        <v/>
      </c>
      <c r="AK127" s="54">
        <f>IF(A127="",0,(B127*20)+(C127*0))</f>
        <v/>
      </c>
      <c r="AL127" s="54">
        <f>IF(A127="",0,(B127*60)+(C127*0))</f>
        <v/>
      </c>
      <c r="AM127" s="54">
        <f>IF(A127="",0,(B127*4)+(C127*4))</f>
        <v/>
      </c>
      <c r="AN127" s="54">
        <f>IF(A127="",0,(B127*4)+(C127*4))</f>
        <v/>
      </c>
      <c r="AO127" s="54">
        <f>IF(A127="",0,(B127*6)+(C127*0))</f>
        <v/>
      </c>
      <c r="AP127" s="54">
        <f>IF(A127="",0,(B127*4)+(C127*10))</f>
        <v/>
      </c>
      <c r="AQ127" s="54">
        <f>IF(A127="",0,(B127*65)+(C127*80))</f>
        <v/>
      </c>
      <c r="AR127" s="54">
        <f>IF(A127="",0,(B127*0)+(C127*5))</f>
        <v/>
      </c>
      <c r="AS127" s="54">
        <f>IF(A127="",0,(B127*0)+(C127*50))</f>
        <v/>
      </c>
      <c r="AT127" s="54">
        <f>IF(A127="",0,(G127*25.51+N127*30+S127*7.5)/1000)</f>
        <v/>
      </c>
      <c r="AU127" s="54">
        <f>IF(A127="",0,(H127*21.74+V127*7.5)/1000)</f>
        <v/>
      </c>
      <c r="AV127" s="54">
        <f>IF(A127="",0,(G127*0.71)/1000)</f>
        <v/>
      </c>
      <c r="AW127" s="54">
        <f>IF(A127="",0,(AB127*5)/1000)</f>
        <v/>
      </c>
      <c r="AX127" s="54">
        <f>IF(A127="",0,(Y127*7)/1000)</f>
        <v/>
      </c>
      <c r="AY127" s="54">
        <f>IF(A127="",0,(AE127*7)/1000)</f>
        <v/>
      </c>
      <c r="AZ127" s="54">
        <f>IF(A127="",0,ROUNDUP((H127+N127)/115,0)*1.5)</f>
        <v/>
      </c>
      <c r="BA127" s="54">
        <f>IF(A127="",0,ROUNDUP((H127+N127)/115,0)*20)</f>
        <v/>
      </c>
      <c r="BB127" s="54">
        <f>IF(A127="",0,ROUNDUP((H127+N127)/115,0)*80)</f>
        <v/>
      </c>
      <c r="BC127" s="54">
        <f>IF(A127="",0,ROUNDUP((H127+N127)/115,0)*5)</f>
        <v/>
      </c>
      <c r="BD127" s="54">
        <f>IF(A127="",0,ROUNDUP((H127+N127)/115,0)*2.5)</f>
        <v/>
      </c>
    </row>
    <row r="128">
      <c r="A128" s="127" t="n"/>
      <c r="B128" s="128" t="n"/>
      <c r="C128" s="128" t="n"/>
      <c r="D128" s="116">
        <f>IF(A128="","",B128*1508)</f>
        <v/>
      </c>
      <c r="E128" s="128" t="n"/>
      <c r="F128" s="128" t="n"/>
      <c r="G128" s="128" t="n"/>
      <c r="H128" s="128" t="n"/>
      <c r="I128" s="116">
        <f>IF(A128="","",MAX((E128/2)-G128,0))</f>
        <v/>
      </c>
      <c r="J128" s="117">
        <f>IF(OR(A128="",E128=0),"",I128/(E128/2))</f>
        <v/>
      </c>
      <c r="K128" s="116">
        <f>IF(A128="","",MAX((F128/2)-H128,0))</f>
        <v/>
      </c>
      <c r="L128" s="117">
        <f>IF(OR(A128="",F128=0),"",K128/(F128/2))</f>
        <v/>
      </c>
      <c r="M128" s="128" t="n"/>
      <c r="N128" s="128" t="n"/>
      <c r="O128" s="116">
        <f>IF(A128="","",MAX((M128/3)-N128,0))</f>
        <v/>
      </c>
      <c r="P128" s="117">
        <f>IF(OR(A128="",M128=0),"",O128/(M128/3))</f>
        <v/>
      </c>
      <c r="Q128" s="116">
        <f>IF(A128="","",C128*1508)</f>
        <v/>
      </c>
      <c r="R128" s="128" t="n"/>
      <c r="S128" s="128" t="n"/>
      <c r="T128" s="117">
        <f>IF(OR(A128="",R128=0),"",MAX(R128-S128,0)/R128)</f>
        <v/>
      </c>
      <c r="U128" s="128" t="n"/>
      <c r="V128" s="128" t="n"/>
      <c r="W128" s="117">
        <f>IF(OR(A128="",U128=0),"",MAX(U128-V128,0)/U128)</f>
        <v/>
      </c>
      <c r="X128" s="128" t="n"/>
      <c r="Y128" s="128" t="n"/>
      <c r="Z128" s="117">
        <f>IF(OR(A128="",X128=0),"",MAX(X128-Y128,0)/X128)</f>
        <v/>
      </c>
      <c r="AA128" s="128" t="n"/>
      <c r="AB128" s="128" t="n"/>
      <c r="AC128" s="117">
        <f>IF(OR(A128="",AA128=0),"",MAX(AA128-AB128,0)/AA128)</f>
        <v/>
      </c>
      <c r="AD128" s="128" t="n"/>
      <c r="AE128" s="128" t="n"/>
      <c r="AF128" s="117">
        <f>IF(OR(A128="",AD128=0),"",MAX(AD128-AE128,0)/AD128)</f>
        <v/>
      </c>
      <c r="AG128" s="54">
        <f>IF(A128="",0,(B128*40)+(C128*40))</f>
        <v/>
      </c>
      <c r="AH128" s="54">
        <f>IF(A128="",0,(B128*100)+(C128*0))</f>
        <v/>
      </c>
      <c r="AI128" s="54">
        <f>IF(A128="",0,(B128*10)+(C128*0))</f>
        <v/>
      </c>
      <c r="AJ128" s="54">
        <f>IF(A128="",0,(B128*50)+(C128*0))</f>
        <v/>
      </c>
      <c r="AK128" s="54">
        <f>IF(A128="",0,(B128*20)+(C128*0))</f>
        <v/>
      </c>
      <c r="AL128" s="54">
        <f>IF(A128="",0,(B128*60)+(C128*0))</f>
        <v/>
      </c>
      <c r="AM128" s="54">
        <f>IF(A128="",0,(B128*4)+(C128*4))</f>
        <v/>
      </c>
      <c r="AN128" s="54">
        <f>IF(A128="",0,(B128*4)+(C128*4))</f>
        <v/>
      </c>
      <c r="AO128" s="54">
        <f>IF(A128="",0,(B128*6)+(C128*0))</f>
        <v/>
      </c>
      <c r="AP128" s="54">
        <f>IF(A128="",0,(B128*4)+(C128*10))</f>
        <v/>
      </c>
      <c r="AQ128" s="54">
        <f>IF(A128="",0,(B128*65)+(C128*80))</f>
        <v/>
      </c>
      <c r="AR128" s="54">
        <f>IF(A128="",0,(B128*0)+(C128*5))</f>
        <v/>
      </c>
      <c r="AS128" s="54">
        <f>IF(A128="",0,(B128*0)+(C128*50))</f>
        <v/>
      </c>
      <c r="AT128" s="54">
        <f>IF(A128="",0,(G128*25.51+N128*30+S128*7.5)/1000)</f>
        <v/>
      </c>
      <c r="AU128" s="54">
        <f>IF(A128="",0,(H128*21.74+V128*7.5)/1000)</f>
        <v/>
      </c>
      <c r="AV128" s="54">
        <f>IF(A128="",0,(G128*0.71)/1000)</f>
        <v/>
      </c>
      <c r="AW128" s="54">
        <f>IF(A128="",0,(AB128*5)/1000)</f>
        <v/>
      </c>
      <c r="AX128" s="54">
        <f>IF(A128="",0,(Y128*7)/1000)</f>
        <v/>
      </c>
      <c r="AY128" s="54">
        <f>IF(A128="",0,(AE128*7)/1000)</f>
        <v/>
      </c>
      <c r="AZ128" s="54">
        <f>IF(A128="",0,ROUNDUP((H128+N128)/115,0)*1.5)</f>
        <v/>
      </c>
      <c r="BA128" s="54">
        <f>IF(A128="",0,ROUNDUP((H128+N128)/115,0)*20)</f>
        <v/>
      </c>
      <c r="BB128" s="54">
        <f>IF(A128="",0,ROUNDUP((H128+N128)/115,0)*80)</f>
        <v/>
      </c>
      <c r="BC128" s="54">
        <f>IF(A128="",0,ROUNDUP((H128+N128)/115,0)*5)</f>
        <v/>
      </c>
      <c r="BD128" s="54">
        <f>IF(A128="",0,ROUNDUP((H128+N128)/115,0)*2.5)</f>
        <v/>
      </c>
    </row>
    <row r="129">
      <c r="A129" s="127" t="n"/>
      <c r="B129" s="128" t="n"/>
      <c r="C129" s="128" t="n"/>
      <c r="D129" s="116">
        <f>IF(A129="","",B129*1508)</f>
        <v/>
      </c>
      <c r="E129" s="128" t="n"/>
      <c r="F129" s="128" t="n"/>
      <c r="G129" s="128" t="n"/>
      <c r="H129" s="128" t="n"/>
      <c r="I129" s="116">
        <f>IF(A129="","",MAX((E129/2)-G129,0))</f>
        <v/>
      </c>
      <c r="J129" s="117">
        <f>IF(OR(A129="",E129=0),"",I129/(E129/2))</f>
        <v/>
      </c>
      <c r="K129" s="116">
        <f>IF(A129="","",MAX((F129/2)-H129,0))</f>
        <v/>
      </c>
      <c r="L129" s="117">
        <f>IF(OR(A129="",F129=0),"",K129/(F129/2))</f>
        <v/>
      </c>
      <c r="M129" s="128" t="n"/>
      <c r="N129" s="128" t="n"/>
      <c r="O129" s="116">
        <f>IF(A129="","",MAX((M129/3)-N129,0))</f>
        <v/>
      </c>
      <c r="P129" s="117">
        <f>IF(OR(A129="",M129=0),"",O129/(M129/3))</f>
        <v/>
      </c>
      <c r="Q129" s="116">
        <f>IF(A129="","",C129*1508)</f>
        <v/>
      </c>
      <c r="R129" s="128" t="n"/>
      <c r="S129" s="128" t="n"/>
      <c r="T129" s="117">
        <f>IF(OR(A129="",R129=0),"",MAX(R129-S129,0)/R129)</f>
        <v/>
      </c>
      <c r="U129" s="128" t="n"/>
      <c r="V129" s="128" t="n"/>
      <c r="W129" s="117">
        <f>IF(OR(A129="",U129=0),"",MAX(U129-V129,0)/U129)</f>
        <v/>
      </c>
      <c r="X129" s="128" t="n"/>
      <c r="Y129" s="128" t="n"/>
      <c r="Z129" s="117">
        <f>IF(OR(A129="",X129=0),"",MAX(X129-Y129,0)/X129)</f>
        <v/>
      </c>
      <c r="AA129" s="128" t="n"/>
      <c r="AB129" s="128" t="n"/>
      <c r="AC129" s="117">
        <f>IF(OR(A129="",AA129=0),"",MAX(AA129-AB129,0)/AA129)</f>
        <v/>
      </c>
      <c r="AD129" s="128" t="n"/>
      <c r="AE129" s="128" t="n"/>
      <c r="AF129" s="117">
        <f>IF(OR(A129="",AD129=0),"",MAX(AD129-AE129,0)/AD129)</f>
        <v/>
      </c>
      <c r="AG129" s="54">
        <f>IF(A129="",0,(B129*40)+(C129*40))</f>
        <v/>
      </c>
      <c r="AH129" s="54">
        <f>IF(A129="",0,(B129*100)+(C129*0))</f>
        <v/>
      </c>
      <c r="AI129" s="54">
        <f>IF(A129="",0,(B129*10)+(C129*0))</f>
        <v/>
      </c>
      <c r="AJ129" s="54">
        <f>IF(A129="",0,(B129*50)+(C129*0))</f>
        <v/>
      </c>
      <c r="AK129" s="54">
        <f>IF(A129="",0,(B129*20)+(C129*0))</f>
        <v/>
      </c>
      <c r="AL129" s="54">
        <f>IF(A129="",0,(B129*60)+(C129*0))</f>
        <v/>
      </c>
      <c r="AM129" s="54">
        <f>IF(A129="",0,(B129*4)+(C129*4))</f>
        <v/>
      </c>
      <c r="AN129" s="54">
        <f>IF(A129="",0,(B129*4)+(C129*4))</f>
        <v/>
      </c>
      <c r="AO129" s="54">
        <f>IF(A129="",0,(B129*6)+(C129*0))</f>
        <v/>
      </c>
      <c r="AP129" s="54">
        <f>IF(A129="",0,(B129*4)+(C129*10))</f>
        <v/>
      </c>
      <c r="AQ129" s="54">
        <f>IF(A129="",0,(B129*65)+(C129*80))</f>
        <v/>
      </c>
      <c r="AR129" s="54">
        <f>IF(A129="",0,(B129*0)+(C129*5))</f>
        <v/>
      </c>
      <c r="AS129" s="54">
        <f>IF(A129="",0,(B129*0)+(C129*50))</f>
        <v/>
      </c>
      <c r="AT129" s="54">
        <f>IF(A129="",0,(G129*25.51+N129*30+S129*7.5)/1000)</f>
        <v/>
      </c>
      <c r="AU129" s="54">
        <f>IF(A129="",0,(H129*21.74+V129*7.5)/1000)</f>
        <v/>
      </c>
      <c r="AV129" s="54">
        <f>IF(A129="",0,(G129*0.71)/1000)</f>
        <v/>
      </c>
      <c r="AW129" s="54">
        <f>IF(A129="",0,(AB129*5)/1000)</f>
        <v/>
      </c>
      <c r="AX129" s="54">
        <f>IF(A129="",0,(Y129*7)/1000)</f>
        <v/>
      </c>
      <c r="AY129" s="54">
        <f>IF(A129="",0,(AE129*7)/1000)</f>
        <v/>
      </c>
      <c r="AZ129" s="54">
        <f>IF(A129="",0,ROUNDUP((H129+N129)/115,0)*1.5)</f>
        <v/>
      </c>
      <c r="BA129" s="54">
        <f>IF(A129="",0,ROUNDUP((H129+N129)/115,0)*20)</f>
        <v/>
      </c>
      <c r="BB129" s="54">
        <f>IF(A129="",0,ROUNDUP((H129+N129)/115,0)*80)</f>
        <v/>
      </c>
      <c r="BC129" s="54">
        <f>IF(A129="",0,ROUNDUP((H129+N129)/115,0)*5)</f>
        <v/>
      </c>
      <c r="BD129" s="54">
        <f>IF(A129="",0,ROUNDUP((H129+N129)/115,0)*2.5)</f>
        <v/>
      </c>
    </row>
    <row r="130">
      <c r="A130" s="127" t="n"/>
      <c r="B130" s="128" t="n"/>
      <c r="C130" s="128" t="n"/>
      <c r="D130" s="116">
        <f>IF(A130="","",B130*1508)</f>
        <v/>
      </c>
      <c r="E130" s="128" t="n"/>
      <c r="F130" s="128" t="n"/>
      <c r="G130" s="128" t="n"/>
      <c r="H130" s="128" t="n"/>
      <c r="I130" s="116">
        <f>IF(A130="","",MAX((E130/2)-G130,0))</f>
        <v/>
      </c>
      <c r="J130" s="117">
        <f>IF(OR(A130="",E130=0),"",I130/(E130/2))</f>
        <v/>
      </c>
      <c r="K130" s="116">
        <f>IF(A130="","",MAX((F130/2)-H130,0))</f>
        <v/>
      </c>
      <c r="L130" s="117">
        <f>IF(OR(A130="",F130=0),"",K130/(F130/2))</f>
        <v/>
      </c>
      <c r="M130" s="128" t="n"/>
      <c r="N130" s="128" t="n"/>
      <c r="O130" s="116">
        <f>IF(A130="","",MAX((M130/3)-N130,0))</f>
        <v/>
      </c>
      <c r="P130" s="117">
        <f>IF(OR(A130="",M130=0),"",O130/(M130/3))</f>
        <v/>
      </c>
      <c r="Q130" s="116">
        <f>IF(A130="","",C130*1508)</f>
        <v/>
      </c>
      <c r="R130" s="128" t="n"/>
      <c r="S130" s="128" t="n"/>
      <c r="T130" s="117">
        <f>IF(OR(A130="",R130=0),"",MAX(R130-S130,0)/R130)</f>
        <v/>
      </c>
      <c r="U130" s="128" t="n"/>
      <c r="V130" s="128" t="n"/>
      <c r="W130" s="117">
        <f>IF(OR(A130="",U130=0),"",MAX(U130-V130,0)/U130)</f>
        <v/>
      </c>
      <c r="X130" s="128" t="n"/>
      <c r="Y130" s="128" t="n"/>
      <c r="Z130" s="117">
        <f>IF(OR(A130="",X130=0),"",MAX(X130-Y130,0)/X130)</f>
        <v/>
      </c>
      <c r="AA130" s="128" t="n"/>
      <c r="AB130" s="128" t="n"/>
      <c r="AC130" s="117">
        <f>IF(OR(A130="",AA130=0),"",MAX(AA130-AB130,0)/AA130)</f>
        <v/>
      </c>
      <c r="AD130" s="128" t="n"/>
      <c r="AE130" s="128" t="n"/>
      <c r="AF130" s="117">
        <f>IF(OR(A130="",AD130=0),"",MAX(AD130-AE130,0)/AD130)</f>
        <v/>
      </c>
      <c r="AG130" s="54">
        <f>IF(A130="",0,(B130*40)+(C130*40))</f>
        <v/>
      </c>
      <c r="AH130" s="54">
        <f>IF(A130="",0,(B130*100)+(C130*0))</f>
        <v/>
      </c>
      <c r="AI130" s="54">
        <f>IF(A130="",0,(B130*10)+(C130*0))</f>
        <v/>
      </c>
      <c r="AJ130" s="54">
        <f>IF(A130="",0,(B130*50)+(C130*0))</f>
        <v/>
      </c>
      <c r="AK130" s="54">
        <f>IF(A130="",0,(B130*20)+(C130*0))</f>
        <v/>
      </c>
      <c r="AL130" s="54">
        <f>IF(A130="",0,(B130*60)+(C130*0))</f>
        <v/>
      </c>
      <c r="AM130" s="54">
        <f>IF(A130="",0,(B130*4)+(C130*4))</f>
        <v/>
      </c>
      <c r="AN130" s="54">
        <f>IF(A130="",0,(B130*4)+(C130*4))</f>
        <v/>
      </c>
      <c r="AO130" s="54">
        <f>IF(A130="",0,(B130*6)+(C130*0))</f>
        <v/>
      </c>
      <c r="AP130" s="54">
        <f>IF(A130="",0,(B130*4)+(C130*10))</f>
        <v/>
      </c>
      <c r="AQ130" s="54">
        <f>IF(A130="",0,(B130*65)+(C130*80))</f>
        <v/>
      </c>
      <c r="AR130" s="54">
        <f>IF(A130="",0,(B130*0)+(C130*5))</f>
        <v/>
      </c>
      <c r="AS130" s="54">
        <f>IF(A130="",0,(B130*0)+(C130*50))</f>
        <v/>
      </c>
      <c r="AT130" s="54">
        <f>IF(A130="",0,(G130*25.51+N130*30+S130*7.5)/1000)</f>
        <v/>
      </c>
      <c r="AU130" s="54">
        <f>IF(A130="",0,(H130*21.74+V130*7.5)/1000)</f>
        <v/>
      </c>
      <c r="AV130" s="54">
        <f>IF(A130="",0,(G130*0.71)/1000)</f>
        <v/>
      </c>
      <c r="AW130" s="54">
        <f>IF(A130="",0,(AB130*5)/1000)</f>
        <v/>
      </c>
      <c r="AX130" s="54">
        <f>IF(A130="",0,(Y130*7)/1000)</f>
        <v/>
      </c>
      <c r="AY130" s="54">
        <f>IF(A130="",0,(AE130*7)/1000)</f>
        <v/>
      </c>
      <c r="AZ130" s="54">
        <f>IF(A130="",0,ROUNDUP((H130+N130)/115,0)*1.5)</f>
        <v/>
      </c>
      <c r="BA130" s="54">
        <f>IF(A130="",0,ROUNDUP((H130+N130)/115,0)*20)</f>
        <v/>
      </c>
      <c r="BB130" s="54">
        <f>IF(A130="",0,ROUNDUP((H130+N130)/115,0)*80)</f>
        <v/>
      </c>
      <c r="BC130" s="54">
        <f>IF(A130="",0,ROUNDUP((H130+N130)/115,0)*5)</f>
        <v/>
      </c>
      <c r="BD130" s="54">
        <f>IF(A130="",0,ROUNDUP((H130+N130)/115,0)*2.5)</f>
        <v/>
      </c>
    </row>
    <row r="131">
      <c r="A131" s="127" t="n"/>
      <c r="B131" s="128" t="n"/>
      <c r="C131" s="128" t="n"/>
      <c r="D131" s="116">
        <f>IF(A131="","",B131*1508)</f>
        <v/>
      </c>
      <c r="E131" s="128" t="n"/>
      <c r="F131" s="128" t="n"/>
      <c r="G131" s="128" t="n"/>
      <c r="H131" s="128" t="n"/>
      <c r="I131" s="116">
        <f>IF(A131="","",MAX((E131/2)-G131,0))</f>
        <v/>
      </c>
      <c r="J131" s="117">
        <f>IF(OR(A131="",E131=0),"",I131/(E131/2))</f>
        <v/>
      </c>
      <c r="K131" s="116">
        <f>IF(A131="","",MAX((F131/2)-H131,0))</f>
        <v/>
      </c>
      <c r="L131" s="117">
        <f>IF(OR(A131="",F131=0),"",K131/(F131/2))</f>
        <v/>
      </c>
      <c r="M131" s="128" t="n"/>
      <c r="N131" s="128" t="n"/>
      <c r="O131" s="116">
        <f>IF(A131="","",MAX((M131/3)-N131,0))</f>
        <v/>
      </c>
      <c r="P131" s="117">
        <f>IF(OR(A131="",M131=0),"",O131/(M131/3))</f>
        <v/>
      </c>
      <c r="Q131" s="116">
        <f>IF(A131="","",C131*1508)</f>
        <v/>
      </c>
      <c r="R131" s="128" t="n"/>
      <c r="S131" s="128" t="n"/>
      <c r="T131" s="117">
        <f>IF(OR(A131="",R131=0),"",MAX(R131-S131,0)/R131)</f>
        <v/>
      </c>
      <c r="U131" s="128" t="n"/>
      <c r="V131" s="128" t="n"/>
      <c r="W131" s="117">
        <f>IF(OR(A131="",U131=0),"",MAX(U131-V131,0)/U131)</f>
        <v/>
      </c>
      <c r="X131" s="128" t="n"/>
      <c r="Y131" s="128" t="n"/>
      <c r="Z131" s="117">
        <f>IF(OR(A131="",X131=0),"",MAX(X131-Y131,0)/X131)</f>
        <v/>
      </c>
      <c r="AA131" s="128" t="n"/>
      <c r="AB131" s="128" t="n"/>
      <c r="AC131" s="117">
        <f>IF(OR(A131="",AA131=0),"",MAX(AA131-AB131,0)/AA131)</f>
        <v/>
      </c>
      <c r="AD131" s="128" t="n"/>
      <c r="AE131" s="128" t="n"/>
      <c r="AF131" s="117">
        <f>IF(OR(A131="",AD131=0),"",MAX(AD131-AE131,0)/AD131)</f>
        <v/>
      </c>
      <c r="AG131" s="54">
        <f>IF(A131="",0,(B131*40)+(C131*40))</f>
        <v/>
      </c>
      <c r="AH131" s="54">
        <f>IF(A131="",0,(B131*100)+(C131*0))</f>
        <v/>
      </c>
      <c r="AI131" s="54">
        <f>IF(A131="",0,(B131*10)+(C131*0))</f>
        <v/>
      </c>
      <c r="AJ131" s="54">
        <f>IF(A131="",0,(B131*50)+(C131*0))</f>
        <v/>
      </c>
      <c r="AK131" s="54">
        <f>IF(A131="",0,(B131*20)+(C131*0))</f>
        <v/>
      </c>
      <c r="AL131" s="54">
        <f>IF(A131="",0,(B131*60)+(C131*0))</f>
        <v/>
      </c>
      <c r="AM131" s="54">
        <f>IF(A131="",0,(B131*4)+(C131*4))</f>
        <v/>
      </c>
      <c r="AN131" s="54">
        <f>IF(A131="",0,(B131*4)+(C131*4))</f>
        <v/>
      </c>
      <c r="AO131" s="54">
        <f>IF(A131="",0,(B131*6)+(C131*0))</f>
        <v/>
      </c>
      <c r="AP131" s="54">
        <f>IF(A131="",0,(B131*4)+(C131*10))</f>
        <v/>
      </c>
      <c r="AQ131" s="54">
        <f>IF(A131="",0,(B131*65)+(C131*80))</f>
        <v/>
      </c>
      <c r="AR131" s="54">
        <f>IF(A131="",0,(B131*0)+(C131*5))</f>
        <v/>
      </c>
      <c r="AS131" s="54">
        <f>IF(A131="",0,(B131*0)+(C131*50))</f>
        <v/>
      </c>
      <c r="AT131" s="54">
        <f>IF(A131="",0,(G131*25.51+N131*30+S131*7.5)/1000)</f>
        <v/>
      </c>
      <c r="AU131" s="54">
        <f>IF(A131="",0,(H131*21.74+V131*7.5)/1000)</f>
        <v/>
      </c>
      <c r="AV131" s="54">
        <f>IF(A131="",0,(G131*0.71)/1000)</f>
        <v/>
      </c>
      <c r="AW131" s="54">
        <f>IF(A131="",0,(AB131*5)/1000)</f>
        <v/>
      </c>
      <c r="AX131" s="54">
        <f>IF(A131="",0,(Y131*7)/1000)</f>
        <v/>
      </c>
      <c r="AY131" s="54">
        <f>IF(A131="",0,(AE131*7)/1000)</f>
        <v/>
      </c>
      <c r="AZ131" s="54">
        <f>IF(A131="",0,ROUNDUP((H131+N131)/115,0)*1.5)</f>
        <v/>
      </c>
      <c r="BA131" s="54">
        <f>IF(A131="",0,ROUNDUP((H131+N131)/115,0)*20)</f>
        <v/>
      </c>
      <c r="BB131" s="54">
        <f>IF(A131="",0,ROUNDUP((H131+N131)/115,0)*80)</f>
        <v/>
      </c>
      <c r="BC131" s="54">
        <f>IF(A131="",0,ROUNDUP((H131+N131)/115,0)*5)</f>
        <v/>
      </c>
      <c r="BD131" s="54">
        <f>IF(A131="",0,ROUNDUP((H131+N131)/115,0)*2.5)</f>
        <v/>
      </c>
    </row>
    <row r="132">
      <c r="A132" s="127" t="n"/>
      <c r="B132" s="128" t="n"/>
      <c r="C132" s="128" t="n"/>
      <c r="D132" s="116">
        <f>IF(A132="","",B132*1508)</f>
        <v/>
      </c>
      <c r="E132" s="128" t="n"/>
      <c r="F132" s="128" t="n"/>
      <c r="G132" s="128" t="n"/>
      <c r="H132" s="128" t="n"/>
      <c r="I132" s="116">
        <f>IF(A132="","",MAX((E132/2)-G132,0))</f>
        <v/>
      </c>
      <c r="J132" s="117">
        <f>IF(OR(A132="",E132=0),"",I132/(E132/2))</f>
        <v/>
      </c>
      <c r="K132" s="116">
        <f>IF(A132="","",MAX((F132/2)-H132,0))</f>
        <v/>
      </c>
      <c r="L132" s="117">
        <f>IF(OR(A132="",F132=0),"",K132/(F132/2))</f>
        <v/>
      </c>
      <c r="M132" s="128" t="n"/>
      <c r="N132" s="128" t="n"/>
      <c r="O132" s="116">
        <f>IF(A132="","",MAX((M132/3)-N132,0))</f>
        <v/>
      </c>
      <c r="P132" s="117">
        <f>IF(OR(A132="",M132=0),"",O132/(M132/3))</f>
        <v/>
      </c>
      <c r="Q132" s="116">
        <f>IF(A132="","",C132*1508)</f>
        <v/>
      </c>
      <c r="R132" s="128" t="n"/>
      <c r="S132" s="128" t="n"/>
      <c r="T132" s="117">
        <f>IF(OR(A132="",R132=0),"",MAX(R132-S132,0)/R132)</f>
        <v/>
      </c>
      <c r="U132" s="128" t="n"/>
      <c r="V132" s="128" t="n"/>
      <c r="W132" s="117">
        <f>IF(OR(A132="",U132=0),"",MAX(U132-V132,0)/U132)</f>
        <v/>
      </c>
      <c r="X132" s="128" t="n"/>
      <c r="Y132" s="128" t="n"/>
      <c r="Z132" s="117">
        <f>IF(OR(A132="",X132=0),"",MAX(X132-Y132,0)/X132)</f>
        <v/>
      </c>
      <c r="AA132" s="128" t="n"/>
      <c r="AB132" s="128" t="n"/>
      <c r="AC132" s="117">
        <f>IF(OR(A132="",AA132=0),"",MAX(AA132-AB132,0)/AA132)</f>
        <v/>
      </c>
      <c r="AD132" s="128" t="n"/>
      <c r="AE132" s="128" t="n"/>
      <c r="AF132" s="117">
        <f>IF(OR(A132="",AD132=0),"",MAX(AD132-AE132,0)/AD132)</f>
        <v/>
      </c>
      <c r="AG132" s="54">
        <f>IF(A132="",0,(B132*40)+(C132*40))</f>
        <v/>
      </c>
      <c r="AH132" s="54">
        <f>IF(A132="",0,(B132*100)+(C132*0))</f>
        <v/>
      </c>
      <c r="AI132" s="54">
        <f>IF(A132="",0,(B132*10)+(C132*0))</f>
        <v/>
      </c>
      <c r="AJ132" s="54">
        <f>IF(A132="",0,(B132*50)+(C132*0))</f>
        <v/>
      </c>
      <c r="AK132" s="54">
        <f>IF(A132="",0,(B132*20)+(C132*0))</f>
        <v/>
      </c>
      <c r="AL132" s="54">
        <f>IF(A132="",0,(B132*60)+(C132*0))</f>
        <v/>
      </c>
      <c r="AM132" s="54">
        <f>IF(A132="",0,(B132*4)+(C132*4))</f>
        <v/>
      </c>
      <c r="AN132" s="54">
        <f>IF(A132="",0,(B132*4)+(C132*4))</f>
        <v/>
      </c>
      <c r="AO132" s="54">
        <f>IF(A132="",0,(B132*6)+(C132*0))</f>
        <v/>
      </c>
      <c r="AP132" s="54">
        <f>IF(A132="",0,(B132*4)+(C132*10))</f>
        <v/>
      </c>
      <c r="AQ132" s="54">
        <f>IF(A132="",0,(B132*65)+(C132*80))</f>
        <v/>
      </c>
      <c r="AR132" s="54">
        <f>IF(A132="",0,(B132*0)+(C132*5))</f>
        <v/>
      </c>
      <c r="AS132" s="54">
        <f>IF(A132="",0,(B132*0)+(C132*50))</f>
        <v/>
      </c>
      <c r="AT132" s="54">
        <f>IF(A132="",0,(G132*25.51+N132*30+S132*7.5)/1000)</f>
        <v/>
      </c>
      <c r="AU132" s="54">
        <f>IF(A132="",0,(H132*21.74+V132*7.5)/1000)</f>
        <v/>
      </c>
      <c r="AV132" s="54">
        <f>IF(A132="",0,(G132*0.71)/1000)</f>
        <v/>
      </c>
      <c r="AW132" s="54">
        <f>IF(A132="",0,(AB132*5)/1000)</f>
        <v/>
      </c>
      <c r="AX132" s="54">
        <f>IF(A132="",0,(Y132*7)/1000)</f>
        <v/>
      </c>
      <c r="AY132" s="54">
        <f>IF(A132="",0,(AE132*7)/1000)</f>
        <v/>
      </c>
      <c r="AZ132" s="54">
        <f>IF(A132="",0,ROUNDUP((H132+N132)/115,0)*1.5)</f>
        <v/>
      </c>
      <c r="BA132" s="54">
        <f>IF(A132="",0,ROUNDUP((H132+N132)/115,0)*20)</f>
        <v/>
      </c>
      <c r="BB132" s="54">
        <f>IF(A132="",0,ROUNDUP((H132+N132)/115,0)*80)</f>
        <v/>
      </c>
      <c r="BC132" s="54">
        <f>IF(A132="",0,ROUNDUP((H132+N132)/115,0)*5)</f>
        <v/>
      </c>
      <c r="BD132" s="54">
        <f>IF(A132="",0,ROUNDUP((H132+N132)/115,0)*2.5)</f>
        <v/>
      </c>
    </row>
    <row r="133">
      <c r="A133" s="127" t="n"/>
      <c r="B133" s="128" t="n"/>
      <c r="C133" s="128" t="n"/>
      <c r="D133" s="116">
        <f>IF(A133="","",B133*1508)</f>
        <v/>
      </c>
      <c r="E133" s="128" t="n"/>
      <c r="F133" s="128" t="n"/>
      <c r="G133" s="128" t="n"/>
      <c r="H133" s="128" t="n"/>
      <c r="I133" s="116">
        <f>IF(A133="","",MAX((E133/2)-G133,0))</f>
        <v/>
      </c>
      <c r="J133" s="117">
        <f>IF(OR(A133="",E133=0),"",I133/(E133/2))</f>
        <v/>
      </c>
      <c r="K133" s="116">
        <f>IF(A133="","",MAX((F133/2)-H133,0))</f>
        <v/>
      </c>
      <c r="L133" s="117">
        <f>IF(OR(A133="",F133=0),"",K133/(F133/2))</f>
        <v/>
      </c>
      <c r="M133" s="128" t="n"/>
      <c r="N133" s="128" t="n"/>
      <c r="O133" s="116">
        <f>IF(A133="","",MAX((M133/3)-N133,0))</f>
        <v/>
      </c>
      <c r="P133" s="117">
        <f>IF(OR(A133="",M133=0),"",O133/(M133/3))</f>
        <v/>
      </c>
      <c r="Q133" s="116">
        <f>IF(A133="","",C133*1508)</f>
        <v/>
      </c>
      <c r="R133" s="128" t="n"/>
      <c r="S133" s="128" t="n"/>
      <c r="T133" s="117">
        <f>IF(OR(A133="",R133=0),"",MAX(R133-S133,0)/R133)</f>
        <v/>
      </c>
      <c r="U133" s="128" t="n"/>
      <c r="V133" s="128" t="n"/>
      <c r="W133" s="117">
        <f>IF(OR(A133="",U133=0),"",MAX(U133-V133,0)/U133)</f>
        <v/>
      </c>
      <c r="X133" s="128" t="n"/>
      <c r="Y133" s="128" t="n"/>
      <c r="Z133" s="117">
        <f>IF(OR(A133="",X133=0),"",MAX(X133-Y133,0)/X133)</f>
        <v/>
      </c>
      <c r="AA133" s="128" t="n"/>
      <c r="AB133" s="128" t="n"/>
      <c r="AC133" s="117">
        <f>IF(OR(A133="",AA133=0),"",MAX(AA133-AB133,0)/AA133)</f>
        <v/>
      </c>
      <c r="AD133" s="128" t="n"/>
      <c r="AE133" s="128" t="n"/>
      <c r="AF133" s="117">
        <f>IF(OR(A133="",AD133=0),"",MAX(AD133-AE133,0)/AD133)</f>
        <v/>
      </c>
      <c r="AG133" s="54">
        <f>IF(A133="",0,(B133*40)+(C133*40))</f>
        <v/>
      </c>
      <c r="AH133" s="54">
        <f>IF(A133="",0,(B133*100)+(C133*0))</f>
        <v/>
      </c>
      <c r="AI133" s="54">
        <f>IF(A133="",0,(B133*10)+(C133*0))</f>
        <v/>
      </c>
      <c r="AJ133" s="54">
        <f>IF(A133="",0,(B133*50)+(C133*0))</f>
        <v/>
      </c>
      <c r="AK133" s="54">
        <f>IF(A133="",0,(B133*20)+(C133*0))</f>
        <v/>
      </c>
      <c r="AL133" s="54">
        <f>IF(A133="",0,(B133*60)+(C133*0))</f>
        <v/>
      </c>
      <c r="AM133" s="54">
        <f>IF(A133="",0,(B133*4)+(C133*4))</f>
        <v/>
      </c>
      <c r="AN133" s="54">
        <f>IF(A133="",0,(B133*4)+(C133*4))</f>
        <v/>
      </c>
      <c r="AO133" s="54">
        <f>IF(A133="",0,(B133*6)+(C133*0))</f>
        <v/>
      </c>
      <c r="AP133" s="54">
        <f>IF(A133="",0,(B133*4)+(C133*10))</f>
        <v/>
      </c>
      <c r="AQ133" s="54">
        <f>IF(A133="",0,(B133*65)+(C133*80))</f>
        <v/>
      </c>
      <c r="AR133" s="54">
        <f>IF(A133="",0,(B133*0)+(C133*5))</f>
        <v/>
      </c>
      <c r="AS133" s="54">
        <f>IF(A133="",0,(B133*0)+(C133*50))</f>
        <v/>
      </c>
      <c r="AT133" s="54">
        <f>IF(A133="",0,(G133*25.51+N133*30+S133*7.5)/1000)</f>
        <v/>
      </c>
      <c r="AU133" s="54">
        <f>IF(A133="",0,(H133*21.74+V133*7.5)/1000)</f>
        <v/>
      </c>
      <c r="AV133" s="54">
        <f>IF(A133="",0,(G133*0.71)/1000)</f>
        <v/>
      </c>
      <c r="AW133" s="54">
        <f>IF(A133="",0,(AB133*5)/1000)</f>
        <v/>
      </c>
      <c r="AX133" s="54">
        <f>IF(A133="",0,(Y133*7)/1000)</f>
        <v/>
      </c>
      <c r="AY133" s="54">
        <f>IF(A133="",0,(AE133*7)/1000)</f>
        <v/>
      </c>
      <c r="AZ133" s="54">
        <f>IF(A133="",0,ROUNDUP((H133+N133)/115,0)*1.5)</f>
        <v/>
      </c>
      <c r="BA133" s="54">
        <f>IF(A133="",0,ROUNDUP((H133+N133)/115,0)*20)</f>
        <v/>
      </c>
      <c r="BB133" s="54">
        <f>IF(A133="",0,ROUNDUP((H133+N133)/115,0)*80)</f>
        <v/>
      </c>
      <c r="BC133" s="54">
        <f>IF(A133="",0,ROUNDUP((H133+N133)/115,0)*5)</f>
        <v/>
      </c>
      <c r="BD133" s="54">
        <f>IF(A133="",0,ROUNDUP((H133+N133)/115,0)*2.5)</f>
        <v/>
      </c>
    </row>
    <row r="134">
      <c r="A134" s="127" t="n"/>
      <c r="B134" s="128" t="n"/>
      <c r="C134" s="128" t="n"/>
      <c r="D134" s="116">
        <f>IF(A134="","",B134*1508)</f>
        <v/>
      </c>
      <c r="E134" s="128" t="n"/>
      <c r="F134" s="128" t="n"/>
      <c r="G134" s="128" t="n"/>
      <c r="H134" s="128" t="n"/>
      <c r="I134" s="116">
        <f>IF(A134="","",MAX((E134/2)-G134,0))</f>
        <v/>
      </c>
      <c r="J134" s="117">
        <f>IF(OR(A134="",E134=0),"",I134/(E134/2))</f>
        <v/>
      </c>
      <c r="K134" s="116">
        <f>IF(A134="","",MAX((F134/2)-H134,0))</f>
        <v/>
      </c>
      <c r="L134" s="117">
        <f>IF(OR(A134="",F134=0),"",K134/(F134/2))</f>
        <v/>
      </c>
      <c r="M134" s="128" t="n"/>
      <c r="N134" s="128" t="n"/>
      <c r="O134" s="116">
        <f>IF(A134="","",MAX((M134/3)-N134,0))</f>
        <v/>
      </c>
      <c r="P134" s="117">
        <f>IF(OR(A134="",M134=0),"",O134/(M134/3))</f>
        <v/>
      </c>
      <c r="Q134" s="116">
        <f>IF(A134="","",C134*1508)</f>
        <v/>
      </c>
      <c r="R134" s="128" t="n"/>
      <c r="S134" s="128" t="n"/>
      <c r="T134" s="117">
        <f>IF(OR(A134="",R134=0),"",MAX(R134-S134,0)/R134)</f>
        <v/>
      </c>
      <c r="U134" s="128" t="n"/>
      <c r="V134" s="128" t="n"/>
      <c r="W134" s="117">
        <f>IF(OR(A134="",U134=0),"",MAX(U134-V134,0)/U134)</f>
        <v/>
      </c>
      <c r="X134" s="128" t="n"/>
      <c r="Y134" s="128" t="n"/>
      <c r="Z134" s="117">
        <f>IF(OR(A134="",X134=0),"",MAX(X134-Y134,0)/X134)</f>
        <v/>
      </c>
      <c r="AA134" s="128" t="n"/>
      <c r="AB134" s="128" t="n"/>
      <c r="AC134" s="117">
        <f>IF(OR(A134="",AA134=0),"",MAX(AA134-AB134,0)/AA134)</f>
        <v/>
      </c>
      <c r="AD134" s="128" t="n"/>
      <c r="AE134" s="128" t="n"/>
      <c r="AF134" s="117">
        <f>IF(OR(A134="",AD134=0),"",MAX(AD134-AE134,0)/AD134)</f>
        <v/>
      </c>
      <c r="AG134" s="54">
        <f>IF(A134="",0,(B134*40)+(C134*40))</f>
        <v/>
      </c>
      <c r="AH134" s="54">
        <f>IF(A134="",0,(B134*100)+(C134*0))</f>
        <v/>
      </c>
      <c r="AI134" s="54">
        <f>IF(A134="",0,(B134*10)+(C134*0))</f>
        <v/>
      </c>
      <c r="AJ134" s="54">
        <f>IF(A134="",0,(B134*50)+(C134*0))</f>
        <v/>
      </c>
      <c r="AK134" s="54">
        <f>IF(A134="",0,(B134*20)+(C134*0))</f>
        <v/>
      </c>
      <c r="AL134" s="54">
        <f>IF(A134="",0,(B134*60)+(C134*0))</f>
        <v/>
      </c>
      <c r="AM134" s="54">
        <f>IF(A134="",0,(B134*4)+(C134*4))</f>
        <v/>
      </c>
      <c r="AN134" s="54">
        <f>IF(A134="",0,(B134*4)+(C134*4))</f>
        <v/>
      </c>
      <c r="AO134" s="54">
        <f>IF(A134="",0,(B134*6)+(C134*0))</f>
        <v/>
      </c>
      <c r="AP134" s="54">
        <f>IF(A134="",0,(B134*4)+(C134*10))</f>
        <v/>
      </c>
      <c r="AQ134" s="54">
        <f>IF(A134="",0,(B134*65)+(C134*80))</f>
        <v/>
      </c>
      <c r="AR134" s="54">
        <f>IF(A134="",0,(B134*0)+(C134*5))</f>
        <v/>
      </c>
      <c r="AS134" s="54">
        <f>IF(A134="",0,(B134*0)+(C134*50))</f>
        <v/>
      </c>
      <c r="AT134" s="54">
        <f>IF(A134="",0,(G134*25.51+N134*30+S134*7.5)/1000)</f>
        <v/>
      </c>
      <c r="AU134" s="54">
        <f>IF(A134="",0,(H134*21.74+V134*7.5)/1000)</f>
        <v/>
      </c>
      <c r="AV134" s="54">
        <f>IF(A134="",0,(G134*0.71)/1000)</f>
        <v/>
      </c>
      <c r="AW134" s="54">
        <f>IF(A134="",0,(AB134*5)/1000)</f>
        <v/>
      </c>
      <c r="AX134" s="54">
        <f>IF(A134="",0,(Y134*7)/1000)</f>
        <v/>
      </c>
      <c r="AY134" s="54">
        <f>IF(A134="",0,(AE134*7)/1000)</f>
        <v/>
      </c>
      <c r="AZ134" s="54">
        <f>IF(A134="",0,ROUNDUP((H134+N134)/115,0)*1.5)</f>
        <v/>
      </c>
      <c r="BA134" s="54">
        <f>IF(A134="",0,ROUNDUP((H134+N134)/115,0)*20)</f>
        <v/>
      </c>
      <c r="BB134" s="54">
        <f>IF(A134="",0,ROUNDUP((H134+N134)/115,0)*80)</f>
        <v/>
      </c>
      <c r="BC134" s="54">
        <f>IF(A134="",0,ROUNDUP((H134+N134)/115,0)*5)</f>
        <v/>
      </c>
      <c r="BD134" s="54">
        <f>IF(A134="",0,ROUNDUP((H134+N134)/115,0)*2.5)</f>
        <v/>
      </c>
    </row>
    <row r="135">
      <c r="A135" s="127" t="n"/>
      <c r="B135" s="128" t="n"/>
      <c r="C135" s="128" t="n"/>
      <c r="D135" s="116">
        <f>IF(A135="","",B135*1508)</f>
        <v/>
      </c>
      <c r="E135" s="128" t="n"/>
      <c r="F135" s="128" t="n"/>
      <c r="G135" s="128" t="n"/>
      <c r="H135" s="128" t="n"/>
      <c r="I135" s="116">
        <f>IF(A135="","",MAX((E135/2)-G135,0))</f>
        <v/>
      </c>
      <c r="J135" s="117">
        <f>IF(OR(A135="",E135=0),"",I135/(E135/2))</f>
        <v/>
      </c>
      <c r="K135" s="116">
        <f>IF(A135="","",MAX((F135/2)-H135,0))</f>
        <v/>
      </c>
      <c r="L135" s="117">
        <f>IF(OR(A135="",F135=0),"",K135/(F135/2))</f>
        <v/>
      </c>
      <c r="M135" s="128" t="n"/>
      <c r="N135" s="128" t="n"/>
      <c r="O135" s="116">
        <f>IF(A135="","",MAX((M135/3)-N135,0))</f>
        <v/>
      </c>
      <c r="P135" s="117">
        <f>IF(OR(A135="",M135=0),"",O135/(M135/3))</f>
        <v/>
      </c>
      <c r="Q135" s="116">
        <f>IF(A135="","",C135*1508)</f>
        <v/>
      </c>
      <c r="R135" s="128" t="n"/>
      <c r="S135" s="128" t="n"/>
      <c r="T135" s="117">
        <f>IF(OR(A135="",R135=0),"",MAX(R135-S135,0)/R135)</f>
        <v/>
      </c>
      <c r="U135" s="128" t="n"/>
      <c r="V135" s="128" t="n"/>
      <c r="W135" s="117">
        <f>IF(OR(A135="",U135=0),"",MAX(U135-V135,0)/U135)</f>
        <v/>
      </c>
      <c r="X135" s="128" t="n"/>
      <c r="Y135" s="128" t="n"/>
      <c r="Z135" s="117">
        <f>IF(OR(A135="",X135=0),"",MAX(X135-Y135,0)/X135)</f>
        <v/>
      </c>
      <c r="AA135" s="128" t="n"/>
      <c r="AB135" s="128" t="n"/>
      <c r="AC135" s="117">
        <f>IF(OR(A135="",AA135=0),"",MAX(AA135-AB135,0)/AA135)</f>
        <v/>
      </c>
      <c r="AD135" s="128" t="n"/>
      <c r="AE135" s="128" t="n"/>
      <c r="AF135" s="117">
        <f>IF(OR(A135="",AD135=0),"",MAX(AD135-AE135,0)/AD135)</f>
        <v/>
      </c>
      <c r="AG135" s="54">
        <f>IF(A135="",0,(B135*40)+(C135*40))</f>
        <v/>
      </c>
      <c r="AH135" s="54">
        <f>IF(A135="",0,(B135*100)+(C135*0))</f>
        <v/>
      </c>
      <c r="AI135" s="54">
        <f>IF(A135="",0,(B135*10)+(C135*0))</f>
        <v/>
      </c>
      <c r="AJ135" s="54">
        <f>IF(A135="",0,(B135*50)+(C135*0))</f>
        <v/>
      </c>
      <c r="AK135" s="54">
        <f>IF(A135="",0,(B135*20)+(C135*0))</f>
        <v/>
      </c>
      <c r="AL135" s="54">
        <f>IF(A135="",0,(B135*60)+(C135*0))</f>
        <v/>
      </c>
      <c r="AM135" s="54">
        <f>IF(A135="",0,(B135*4)+(C135*4))</f>
        <v/>
      </c>
      <c r="AN135" s="54">
        <f>IF(A135="",0,(B135*4)+(C135*4))</f>
        <v/>
      </c>
      <c r="AO135" s="54">
        <f>IF(A135="",0,(B135*6)+(C135*0))</f>
        <v/>
      </c>
      <c r="AP135" s="54">
        <f>IF(A135="",0,(B135*4)+(C135*10))</f>
        <v/>
      </c>
      <c r="AQ135" s="54">
        <f>IF(A135="",0,(B135*65)+(C135*80))</f>
        <v/>
      </c>
      <c r="AR135" s="54">
        <f>IF(A135="",0,(B135*0)+(C135*5))</f>
        <v/>
      </c>
      <c r="AS135" s="54">
        <f>IF(A135="",0,(B135*0)+(C135*50))</f>
        <v/>
      </c>
      <c r="AT135" s="54">
        <f>IF(A135="",0,(G135*25.51+N135*30+S135*7.5)/1000)</f>
        <v/>
      </c>
      <c r="AU135" s="54">
        <f>IF(A135="",0,(H135*21.74+V135*7.5)/1000)</f>
        <v/>
      </c>
      <c r="AV135" s="54">
        <f>IF(A135="",0,(G135*0.71)/1000)</f>
        <v/>
      </c>
      <c r="AW135" s="54">
        <f>IF(A135="",0,(AB135*5)/1000)</f>
        <v/>
      </c>
      <c r="AX135" s="54">
        <f>IF(A135="",0,(Y135*7)/1000)</f>
        <v/>
      </c>
      <c r="AY135" s="54">
        <f>IF(A135="",0,(AE135*7)/1000)</f>
        <v/>
      </c>
      <c r="AZ135" s="54">
        <f>IF(A135="",0,ROUNDUP((H135+N135)/115,0)*1.5)</f>
        <v/>
      </c>
      <c r="BA135" s="54">
        <f>IF(A135="",0,ROUNDUP((H135+N135)/115,0)*20)</f>
        <v/>
      </c>
      <c r="BB135" s="54">
        <f>IF(A135="",0,ROUNDUP((H135+N135)/115,0)*80)</f>
        <v/>
      </c>
      <c r="BC135" s="54">
        <f>IF(A135="",0,ROUNDUP((H135+N135)/115,0)*5)</f>
        <v/>
      </c>
      <c r="BD135" s="54">
        <f>IF(A135="",0,ROUNDUP((H135+N135)/115,0)*2.5)</f>
        <v/>
      </c>
    </row>
    <row r="136">
      <c r="A136" s="127" t="n"/>
      <c r="B136" s="128" t="n"/>
      <c r="C136" s="128" t="n"/>
      <c r="D136" s="116">
        <f>IF(A136="","",B136*1508)</f>
        <v/>
      </c>
      <c r="E136" s="128" t="n"/>
      <c r="F136" s="128" t="n"/>
      <c r="G136" s="128" t="n"/>
      <c r="H136" s="128" t="n"/>
      <c r="I136" s="116">
        <f>IF(A136="","",MAX((E136/2)-G136,0))</f>
        <v/>
      </c>
      <c r="J136" s="117">
        <f>IF(OR(A136="",E136=0),"",I136/(E136/2))</f>
        <v/>
      </c>
      <c r="K136" s="116">
        <f>IF(A136="","",MAX((F136/2)-H136,0))</f>
        <v/>
      </c>
      <c r="L136" s="117">
        <f>IF(OR(A136="",F136=0),"",K136/(F136/2))</f>
        <v/>
      </c>
      <c r="M136" s="128" t="n"/>
      <c r="N136" s="128" t="n"/>
      <c r="O136" s="116">
        <f>IF(A136="","",MAX((M136/3)-N136,0))</f>
        <v/>
      </c>
      <c r="P136" s="117">
        <f>IF(OR(A136="",M136=0),"",O136/(M136/3))</f>
        <v/>
      </c>
      <c r="Q136" s="116">
        <f>IF(A136="","",C136*1508)</f>
        <v/>
      </c>
      <c r="R136" s="128" t="n"/>
      <c r="S136" s="128" t="n"/>
      <c r="T136" s="117">
        <f>IF(OR(A136="",R136=0),"",MAX(R136-S136,0)/R136)</f>
        <v/>
      </c>
      <c r="U136" s="128" t="n"/>
      <c r="V136" s="128" t="n"/>
      <c r="W136" s="117">
        <f>IF(OR(A136="",U136=0),"",MAX(U136-V136,0)/U136)</f>
        <v/>
      </c>
      <c r="X136" s="128" t="n"/>
      <c r="Y136" s="128" t="n"/>
      <c r="Z136" s="117">
        <f>IF(OR(A136="",X136=0),"",MAX(X136-Y136,0)/X136)</f>
        <v/>
      </c>
      <c r="AA136" s="128" t="n"/>
      <c r="AB136" s="128" t="n"/>
      <c r="AC136" s="117">
        <f>IF(OR(A136="",AA136=0),"",MAX(AA136-AB136,0)/AA136)</f>
        <v/>
      </c>
      <c r="AD136" s="128" t="n"/>
      <c r="AE136" s="128" t="n"/>
      <c r="AF136" s="117">
        <f>IF(OR(A136="",AD136=0),"",MAX(AD136-AE136,0)/AD136)</f>
        <v/>
      </c>
      <c r="AG136" s="54">
        <f>IF(A136="",0,(B136*40)+(C136*40))</f>
        <v/>
      </c>
      <c r="AH136" s="54">
        <f>IF(A136="",0,(B136*100)+(C136*0))</f>
        <v/>
      </c>
      <c r="AI136" s="54">
        <f>IF(A136="",0,(B136*10)+(C136*0))</f>
        <v/>
      </c>
      <c r="AJ136" s="54">
        <f>IF(A136="",0,(B136*50)+(C136*0))</f>
        <v/>
      </c>
      <c r="AK136" s="54">
        <f>IF(A136="",0,(B136*20)+(C136*0))</f>
        <v/>
      </c>
      <c r="AL136" s="54">
        <f>IF(A136="",0,(B136*60)+(C136*0))</f>
        <v/>
      </c>
      <c r="AM136" s="54">
        <f>IF(A136="",0,(B136*4)+(C136*4))</f>
        <v/>
      </c>
      <c r="AN136" s="54">
        <f>IF(A136="",0,(B136*4)+(C136*4))</f>
        <v/>
      </c>
      <c r="AO136" s="54">
        <f>IF(A136="",0,(B136*6)+(C136*0))</f>
        <v/>
      </c>
      <c r="AP136" s="54">
        <f>IF(A136="",0,(B136*4)+(C136*10))</f>
        <v/>
      </c>
      <c r="AQ136" s="54">
        <f>IF(A136="",0,(B136*65)+(C136*80))</f>
        <v/>
      </c>
      <c r="AR136" s="54">
        <f>IF(A136="",0,(B136*0)+(C136*5))</f>
        <v/>
      </c>
      <c r="AS136" s="54">
        <f>IF(A136="",0,(B136*0)+(C136*50))</f>
        <v/>
      </c>
      <c r="AT136" s="54">
        <f>IF(A136="",0,(G136*25.51+N136*30+S136*7.5)/1000)</f>
        <v/>
      </c>
      <c r="AU136" s="54">
        <f>IF(A136="",0,(H136*21.74+V136*7.5)/1000)</f>
        <v/>
      </c>
      <c r="AV136" s="54">
        <f>IF(A136="",0,(G136*0.71)/1000)</f>
        <v/>
      </c>
      <c r="AW136" s="54">
        <f>IF(A136="",0,(AB136*5)/1000)</f>
        <v/>
      </c>
      <c r="AX136" s="54">
        <f>IF(A136="",0,(Y136*7)/1000)</f>
        <v/>
      </c>
      <c r="AY136" s="54">
        <f>IF(A136="",0,(AE136*7)/1000)</f>
        <v/>
      </c>
      <c r="AZ136" s="54">
        <f>IF(A136="",0,ROUNDUP((H136+N136)/115,0)*1.5)</f>
        <v/>
      </c>
      <c r="BA136" s="54">
        <f>IF(A136="",0,ROUNDUP((H136+N136)/115,0)*20)</f>
        <v/>
      </c>
      <c r="BB136" s="54">
        <f>IF(A136="",0,ROUNDUP((H136+N136)/115,0)*80)</f>
        <v/>
      </c>
      <c r="BC136" s="54">
        <f>IF(A136="",0,ROUNDUP((H136+N136)/115,0)*5)</f>
        <v/>
      </c>
      <c r="BD136" s="54">
        <f>IF(A136="",0,ROUNDUP((H136+N136)/115,0)*2.5)</f>
        <v/>
      </c>
    </row>
    <row r="137">
      <c r="A137" s="127" t="n"/>
      <c r="B137" s="128" t="n"/>
      <c r="C137" s="128" t="n"/>
      <c r="D137" s="116">
        <f>IF(A137="","",B137*1508)</f>
        <v/>
      </c>
      <c r="E137" s="128" t="n"/>
      <c r="F137" s="128" t="n"/>
      <c r="G137" s="128" t="n"/>
      <c r="H137" s="128" t="n"/>
      <c r="I137" s="116">
        <f>IF(A137="","",MAX((E137/2)-G137,0))</f>
        <v/>
      </c>
      <c r="J137" s="117">
        <f>IF(OR(A137="",E137=0),"",I137/(E137/2))</f>
        <v/>
      </c>
      <c r="K137" s="116">
        <f>IF(A137="","",MAX((F137/2)-H137,0))</f>
        <v/>
      </c>
      <c r="L137" s="117">
        <f>IF(OR(A137="",F137=0),"",K137/(F137/2))</f>
        <v/>
      </c>
      <c r="M137" s="128" t="n"/>
      <c r="N137" s="128" t="n"/>
      <c r="O137" s="116">
        <f>IF(A137="","",MAX((M137/3)-N137,0))</f>
        <v/>
      </c>
      <c r="P137" s="117">
        <f>IF(OR(A137="",M137=0),"",O137/(M137/3))</f>
        <v/>
      </c>
      <c r="Q137" s="116">
        <f>IF(A137="","",C137*1508)</f>
        <v/>
      </c>
      <c r="R137" s="128" t="n"/>
      <c r="S137" s="128" t="n"/>
      <c r="T137" s="117">
        <f>IF(OR(A137="",R137=0),"",MAX(R137-S137,0)/R137)</f>
        <v/>
      </c>
      <c r="U137" s="128" t="n"/>
      <c r="V137" s="128" t="n"/>
      <c r="W137" s="117">
        <f>IF(OR(A137="",U137=0),"",MAX(U137-V137,0)/U137)</f>
        <v/>
      </c>
      <c r="X137" s="128" t="n"/>
      <c r="Y137" s="128" t="n"/>
      <c r="Z137" s="117">
        <f>IF(OR(A137="",X137=0),"",MAX(X137-Y137,0)/X137)</f>
        <v/>
      </c>
      <c r="AA137" s="128" t="n"/>
      <c r="AB137" s="128" t="n"/>
      <c r="AC137" s="117">
        <f>IF(OR(A137="",AA137=0),"",MAX(AA137-AB137,0)/AA137)</f>
        <v/>
      </c>
      <c r="AD137" s="128" t="n"/>
      <c r="AE137" s="128" t="n"/>
      <c r="AF137" s="117">
        <f>IF(OR(A137="",AD137=0),"",MAX(AD137-AE137,0)/AD137)</f>
        <v/>
      </c>
      <c r="AG137" s="54">
        <f>IF(A137="",0,(B137*40)+(C137*40))</f>
        <v/>
      </c>
      <c r="AH137" s="54">
        <f>IF(A137="",0,(B137*100)+(C137*0))</f>
        <v/>
      </c>
      <c r="AI137" s="54">
        <f>IF(A137="",0,(B137*10)+(C137*0))</f>
        <v/>
      </c>
      <c r="AJ137" s="54">
        <f>IF(A137="",0,(B137*50)+(C137*0))</f>
        <v/>
      </c>
      <c r="AK137" s="54">
        <f>IF(A137="",0,(B137*20)+(C137*0))</f>
        <v/>
      </c>
      <c r="AL137" s="54">
        <f>IF(A137="",0,(B137*60)+(C137*0))</f>
        <v/>
      </c>
      <c r="AM137" s="54">
        <f>IF(A137="",0,(B137*4)+(C137*4))</f>
        <v/>
      </c>
      <c r="AN137" s="54">
        <f>IF(A137="",0,(B137*4)+(C137*4))</f>
        <v/>
      </c>
      <c r="AO137" s="54">
        <f>IF(A137="",0,(B137*6)+(C137*0))</f>
        <v/>
      </c>
      <c r="AP137" s="54">
        <f>IF(A137="",0,(B137*4)+(C137*10))</f>
        <v/>
      </c>
      <c r="AQ137" s="54">
        <f>IF(A137="",0,(B137*65)+(C137*80))</f>
        <v/>
      </c>
      <c r="AR137" s="54">
        <f>IF(A137="",0,(B137*0)+(C137*5))</f>
        <v/>
      </c>
      <c r="AS137" s="54">
        <f>IF(A137="",0,(B137*0)+(C137*50))</f>
        <v/>
      </c>
      <c r="AT137" s="54">
        <f>IF(A137="",0,(G137*25.51+N137*30+S137*7.5)/1000)</f>
        <v/>
      </c>
      <c r="AU137" s="54">
        <f>IF(A137="",0,(H137*21.74+V137*7.5)/1000)</f>
        <v/>
      </c>
      <c r="AV137" s="54">
        <f>IF(A137="",0,(G137*0.71)/1000)</f>
        <v/>
      </c>
      <c r="AW137" s="54">
        <f>IF(A137="",0,(AB137*5)/1000)</f>
        <v/>
      </c>
      <c r="AX137" s="54">
        <f>IF(A137="",0,(Y137*7)/1000)</f>
        <v/>
      </c>
      <c r="AY137" s="54">
        <f>IF(A137="",0,(AE137*7)/1000)</f>
        <v/>
      </c>
      <c r="AZ137" s="54">
        <f>IF(A137="",0,ROUNDUP((H137+N137)/115,0)*1.5)</f>
        <v/>
      </c>
      <c r="BA137" s="54">
        <f>IF(A137="",0,ROUNDUP((H137+N137)/115,0)*20)</f>
        <v/>
      </c>
      <c r="BB137" s="54">
        <f>IF(A137="",0,ROUNDUP((H137+N137)/115,0)*80)</f>
        <v/>
      </c>
      <c r="BC137" s="54">
        <f>IF(A137="",0,ROUNDUP((H137+N137)/115,0)*5)</f>
        <v/>
      </c>
      <c r="BD137" s="54">
        <f>IF(A137="",0,ROUNDUP((H137+N137)/115,0)*2.5)</f>
        <v/>
      </c>
    </row>
    <row r="138">
      <c r="A138" s="127" t="n"/>
      <c r="B138" s="128" t="n"/>
      <c r="C138" s="128" t="n"/>
      <c r="D138" s="116">
        <f>IF(A138="","",B138*1508)</f>
        <v/>
      </c>
      <c r="E138" s="128" t="n"/>
      <c r="F138" s="128" t="n"/>
      <c r="G138" s="128" t="n"/>
      <c r="H138" s="128" t="n"/>
      <c r="I138" s="116">
        <f>IF(A138="","",MAX((E138/2)-G138,0))</f>
        <v/>
      </c>
      <c r="J138" s="117">
        <f>IF(OR(A138="",E138=0),"",I138/(E138/2))</f>
        <v/>
      </c>
      <c r="K138" s="116">
        <f>IF(A138="","",MAX((F138/2)-H138,0))</f>
        <v/>
      </c>
      <c r="L138" s="117">
        <f>IF(OR(A138="",F138=0),"",K138/(F138/2))</f>
        <v/>
      </c>
      <c r="M138" s="128" t="n"/>
      <c r="N138" s="128" t="n"/>
      <c r="O138" s="116">
        <f>IF(A138="","",MAX((M138/3)-N138,0))</f>
        <v/>
      </c>
      <c r="P138" s="117">
        <f>IF(OR(A138="",M138=0),"",O138/(M138/3))</f>
        <v/>
      </c>
      <c r="Q138" s="116">
        <f>IF(A138="","",C138*1508)</f>
        <v/>
      </c>
      <c r="R138" s="128" t="n"/>
      <c r="S138" s="128" t="n"/>
      <c r="T138" s="117">
        <f>IF(OR(A138="",R138=0),"",MAX(R138-S138,0)/R138)</f>
        <v/>
      </c>
      <c r="U138" s="128" t="n"/>
      <c r="V138" s="128" t="n"/>
      <c r="W138" s="117">
        <f>IF(OR(A138="",U138=0),"",MAX(U138-V138,0)/U138)</f>
        <v/>
      </c>
      <c r="X138" s="128" t="n"/>
      <c r="Y138" s="128" t="n"/>
      <c r="Z138" s="117">
        <f>IF(OR(A138="",X138=0),"",MAX(X138-Y138,0)/X138)</f>
        <v/>
      </c>
      <c r="AA138" s="128" t="n"/>
      <c r="AB138" s="128" t="n"/>
      <c r="AC138" s="117">
        <f>IF(OR(A138="",AA138=0),"",MAX(AA138-AB138,0)/AA138)</f>
        <v/>
      </c>
      <c r="AD138" s="128" t="n"/>
      <c r="AE138" s="128" t="n"/>
      <c r="AF138" s="117">
        <f>IF(OR(A138="",AD138=0),"",MAX(AD138-AE138,0)/AD138)</f>
        <v/>
      </c>
      <c r="AG138" s="54">
        <f>IF(A138="",0,(B138*40)+(C138*40))</f>
        <v/>
      </c>
      <c r="AH138" s="54">
        <f>IF(A138="",0,(B138*100)+(C138*0))</f>
        <v/>
      </c>
      <c r="AI138" s="54">
        <f>IF(A138="",0,(B138*10)+(C138*0))</f>
        <v/>
      </c>
      <c r="AJ138" s="54">
        <f>IF(A138="",0,(B138*50)+(C138*0))</f>
        <v/>
      </c>
      <c r="AK138" s="54">
        <f>IF(A138="",0,(B138*20)+(C138*0))</f>
        <v/>
      </c>
      <c r="AL138" s="54">
        <f>IF(A138="",0,(B138*60)+(C138*0))</f>
        <v/>
      </c>
      <c r="AM138" s="54">
        <f>IF(A138="",0,(B138*4)+(C138*4))</f>
        <v/>
      </c>
      <c r="AN138" s="54">
        <f>IF(A138="",0,(B138*4)+(C138*4))</f>
        <v/>
      </c>
      <c r="AO138" s="54">
        <f>IF(A138="",0,(B138*6)+(C138*0))</f>
        <v/>
      </c>
      <c r="AP138" s="54">
        <f>IF(A138="",0,(B138*4)+(C138*10))</f>
        <v/>
      </c>
      <c r="AQ138" s="54">
        <f>IF(A138="",0,(B138*65)+(C138*80))</f>
        <v/>
      </c>
      <c r="AR138" s="54">
        <f>IF(A138="",0,(B138*0)+(C138*5))</f>
        <v/>
      </c>
      <c r="AS138" s="54">
        <f>IF(A138="",0,(B138*0)+(C138*50))</f>
        <v/>
      </c>
      <c r="AT138" s="54">
        <f>IF(A138="",0,(G138*25.51+N138*30+S138*7.5)/1000)</f>
        <v/>
      </c>
      <c r="AU138" s="54">
        <f>IF(A138="",0,(H138*21.74+V138*7.5)/1000)</f>
        <v/>
      </c>
      <c r="AV138" s="54">
        <f>IF(A138="",0,(G138*0.71)/1000)</f>
        <v/>
      </c>
      <c r="AW138" s="54">
        <f>IF(A138="",0,(AB138*5)/1000)</f>
        <v/>
      </c>
      <c r="AX138" s="54">
        <f>IF(A138="",0,(Y138*7)/1000)</f>
        <v/>
      </c>
      <c r="AY138" s="54">
        <f>IF(A138="",0,(AE138*7)/1000)</f>
        <v/>
      </c>
      <c r="AZ138" s="54">
        <f>IF(A138="",0,ROUNDUP((H138+N138)/115,0)*1.5)</f>
        <v/>
      </c>
      <c r="BA138" s="54">
        <f>IF(A138="",0,ROUNDUP((H138+N138)/115,0)*20)</f>
        <v/>
      </c>
      <c r="BB138" s="54">
        <f>IF(A138="",0,ROUNDUP((H138+N138)/115,0)*80)</f>
        <v/>
      </c>
      <c r="BC138" s="54">
        <f>IF(A138="",0,ROUNDUP((H138+N138)/115,0)*5)</f>
        <v/>
      </c>
      <c r="BD138" s="54">
        <f>IF(A138="",0,ROUNDUP((H138+N138)/115,0)*2.5)</f>
        <v/>
      </c>
    </row>
    <row r="139">
      <c r="A139" s="127" t="n"/>
      <c r="B139" s="128" t="n"/>
      <c r="C139" s="128" t="n"/>
      <c r="D139" s="116">
        <f>IF(A139="","",B139*1508)</f>
        <v/>
      </c>
      <c r="E139" s="128" t="n"/>
      <c r="F139" s="128" t="n"/>
      <c r="G139" s="128" t="n"/>
      <c r="H139" s="128" t="n"/>
      <c r="I139" s="116">
        <f>IF(A139="","",MAX((E139/2)-G139,0))</f>
        <v/>
      </c>
      <c r="J139" s="117">
        <f>IF(OR(A139="",E139=0),"",I139/(E139/2))</f>
        <v/>
      </c>
      <c r="K139" s="116">
        <f>IF(A139="","",MAX((F139/2)-H139,0))</f>
        <v/>
      </c>
      <c r="L139" s="117">
        <f>IF(OR(A139="",F139=0),"",K139/(F139/2))</f>
        <v/>
      </c>
      <c r="M139" s="128" t="n"/>
      <c r="N139" s="128" t="n"/>
      <c r="O139" s="116">
        <f>IF(A139="","",MAX((M139/3)-N139,0))</f>
        <v/>
      </c>
      <c r="P139" s="117">
        <f>IF(OR(A139="",M139=0),"",O139/(M139/3))</f>
        <v/>
      </c>
      <c r="Q139" s="116">
        <f>IF(A139="","",C139*1508)</f>
        <v/>
      </c>
      <c r="R139" s="128" t="n"/>
      <c r="S139" s="128" t="n"/>
      <c r="T139" s="117">
        <f>IF(OR(A139="",R139=0),"",MAX(R139-S139,0)/R139)</f>
        <v/>
      </c>
      <c r="U139" s="128" t="n"/>
      <c r="V139" s="128" t="n"/>
      <c r="W139" s="117">
        <f>IF(OR(A139="",U139=0),"",MAX(U139-V139,0)/U139)</f>
        <v/>
      </c>
      <c r="X139" s="128" t="n"/>
      <c r="Y139" s="128" t="n"/>
      <c r="Z139" s="117">
        <f>IF(OR(A139="",X139=0),"",MAX(X139-Y139,0)/X139)</f>
        <v/>
      </c>
      <c r="AA139" s="128" t="n"/>
      <c r="AB139" s="128" t="n"/>
      <c r="AC139" s="117">
        <f>IF(OR(A139="",AA139=0),"",MAX(AA139-AB139,0)/AA139)</f>
        <v/>
      </c>
      <c r="AD139" s="128" t="n"/>
      <c r="AE139" s="128" t="n"/>
      <c r="AF139" s="117">
        <f>IF(OR(A139="",AD139=0),"",MAX(AD139-AE139,0)/AD139)</f>
        <v/>
      </c>
      <c r="AG139" s="54">
        <f>IF(A139="",0,(B139*40)+(C139*40))</f>
        <v/>
      </c>
      <c r="AH139" s="54">
        <f>IF(A139="",0,(B139*100)+(C139*0))</f>
        <v/>
      </c>
      <c r="AI139" s="54">
        <f>IF(A139="",0,(B139*10)+(C139*0))</f>
        <v/>
      </c>
      <c r="AJ139" s="54">
        <f>IF(A139="",0,(B139*50)+(C139*0))</f>
        <v/>
      </c>
      <c r="AK139" s="54">
        <f>IF(A139="",0,(B139*20)+(C139*0))</f>
        <v/>
      </c>
      <c r="AL139" s="54">
        <f>IF(A139="",0,(B139*60)+(C139*0))</f>
        <v/>
      </c>
      <c r="AM139" s="54">
        <f>IF(A139="",0,(B139*4)+(C139*4))</f>
        <v/>
      </c>
      <c r="AN139" s="54">
        <f>IF(A139="",0,(B139*4)+(C139*4))</f>
        <v/>
      </c>
      <c r="AO139" s="54">
        <f>IF(A139="",0,(B139*6)+(C139*0))</f>
        <v/>
      </c>
      <c r="AP139" s="54">
        <f>IF(A139="",0,(B139*4)+(C139*10))</f>
        <v/>
      </c>
      <c r="AQ139" s="54">
        <f>IF(A139="",0,(B139*65)+(C139*80))</f>
        <v/>
      </c>
      <c r="AR139" s="54">
        <f>IF(A139="",0,(B139*0)+(C139*5))</f>
        <v/>
      </c>
      <c r="AS139" s="54">
        <f>IF(A139="",0,(B139*0)+(C139*50))</f>
        <v/>
      </c>
      <c r="AT139" s="54">
        <f>IF(A139="",0,(G139*25.51+N139*30+S139*7.5)/1000)</f>
        <v/>
      </c>
      <c r="AU139" s="54">
        <f>IF(A139="",0,(H139*21.74+V139*7.5)/1000)</f>
        <v/>
      </c>
      <c r="AV139" s="54">
        <f>IF(A139="",0,(G139*0.71)/1000)</f>
        <v/>
      </c>
      <c r="AW139" s="54">
        <f>IF(A139="",0,(AB139*5)/1000)</f>
        <v/>
      </c>
      <c r="AX139" s="54">
        <f>IF(A139="",0,(Y139*7)/1000)</f>
        <v/>
      </c>
      <c r="AY139" s="54">
        <f>IF(A139="",0,(AE139*7)/1000)</f>
        <v/>
      </c>
      <c r="AZ139" s="54">
        <f>IF(A139="",0,ROUNDUP((H139+N139)/115,0)*1.5)</f>
        <v/>
      </c>
      <c r="BA139" s="54">
        <f>IF(A139="",0,ROUNDUP((H139+N139)/115,0)*20)</f>
        <v/>
      </c>
      <c r="BB139" s="54">
        <f>IF(A139="",0,ROUNDUP((H139+N139)/115,0)*80)</f>
        <v/>
      </c>
      <c r="BC139" s="54">
        <f>IF(A139="",0,ROUNDUP((H139+N139)/115,0)*5)</f>
        <v/>
      </c>
      <c r="BD139" s="54">
        <f>IF(A139="",0,ROUNDUP((H139+N139)/115,0)*2.5)</f>
        <v/>
      </c>
    </row>
    <row r="140">
      <c r="A140" s="127" t="n"/>
      <c r="B140" s="128" t="n"/>
      <c r="C140" s="128" t="n"/>
      <c r="D140" s="116">
        <f>IF(A140="","",B140*1508)</f>
        <v/>
      </c>
      <c r="E140" s="128" t="n"/>
      <c r="F140" s="128" t="n"/>
      <c r="G140" s="128" t="n"/>
      <c r="H140" s="128" t="n"/>
      <c r="I140" s="116">
        <f>IF(A140="","",MAX((E140/2)-G140,0))</f>
        <v/>
      </c>
      <c r="J140" s="117">
        <f>IF(OR(A140="",E140=0),"",I140/(E140/2))</f>
        <v/>
      </c>
      <c r="K140" s="116">
        <f>IF(A140="","",MAX((F140/2)-H140,0))</f>
        <v/>
      </c>
      <c r="L140" s="117">
        <f>IF(OR(A140="",F140=0),"",K140/(F140/2))</f>
        <v/>
      </c>
      <c r="M140" s="128" t="n"/>
      <c r="N140" s="128" t="n"/>
      <c r="O140" s="116">
        <f>IF(A140="","",MAX((M140/3)-N140,0))</f>
        <v/>
      </c>
      <c r="P140" s="117">
        <f>IF(OR(A140="",M140=0),"",O140/(M140/3))</f>
        <v/>
      </c>
      <c r="Q140" s="116">
        <f>IF(A140="","",C140*1508)</f>
        <v/>
      </c>
      <c r="R140" s="128" t="n"/>
      <c r="S140" s="128" t="n"/>
      <c r="T140" s="117">
        <f>IF(OR(A140="",R140=0),"",MAX(R140-S140,0)/R140)</f>
        <v/>
      </c>
      <c r="U140" s="128" t="n"/>
      <c r="V140" s="128" t="n"/>
      <c r="W140" s="117">
        <f>IF(OR(A140="",U140=0),"",MAX(U140-V140,0)/U140)</f>
        <v/>
      </c>
      <c r="X140" s="128" t="n"/>
      <c r="Y140" s="128" t="n"/>
      <c r="Z140" s="117">
        <f>IF(OR(A140="",X140=0),"",MAX(X140-Y140,0)/X140)</f>
        <v/>
      </c>
      <c r="AA140" s="128" t="n"/>
      <c r="AB140" s="128" t="n"/>
      <c r="AC140" s="117">
        <f>IF(OR(A140="",AA140=0),"",MAX(AA140-AB140,0)/AA140)</f>
        <v/>
      </c>
      <c r="AD140" s="128" t="n"/>
      <c r="AE140" s="128" t="n"/>
      <c r="AF140" s="117">
        <f>IF(OR(A140="",AD140=0),"",MAX(AD140-AE140,0)/AD140)</f>
        <v/>
      </c>
      <c r="AG140" s="54">
        <f>IF(A140="",0,(B140*40)+(C140*40))</f>
        <v/>
      </c>
      <c r="AH140" s="54">
        <f>IF(A140="",0,(B140*100)+(C140*0))</f>
        <v/>
      </c>
      <c r="AI140" s="54">
        <f>IF(A140="",0,(B140*10)+(C140*0))</f>
        <v/>
      </c>
      <c r="AJ140" s="54">
        <f>IF(A140="",0,(B140*50)+(C140*0))</f>
        <v/>
      </c>
      <c r="AK140" s="54">
        <f>IF(A140="",0,(B140*20)+(C140*0))</f>
        <v/>
      </c>
      <c r="AL140" s="54">
        <f>IF(A140="",0,(B140*60)+(C140*0))</f>
        <v/>
      </c>
      <c r="AM140" s="54">
        <f>IF(A140="",0,(B140*4)+(C140*4))</f>
        <v/>
      </c>
      <c r="AN140" s="54">
        <f>IF(A140="",0,(B140*4)+(C140*4))</f>
        <v/>
      </c>
      <c r="AO140" s="54">
        <f>IF(A140="",0,(B140*6)+(C140*0))</f>
        <v/>
      </c>
      <c r="AP140" s="54">
        <f>IF(A140="",0,(B140*4)+(C140*10))</f>
        <v/>
      </c>
      <c r="AQ140" s="54">
        <f>IF(A140="",0,(B140*65)+(C140*80))</f>
        <v/>
      </c>
      <c r="AR140" s="54">
        <f>IF(A140="",0,(B140*0)+(C140*5))</f>
        <v/>
      </c>
      <c r="AS140" s="54">
        <f>IF(A140="",0,(B140*0)+(C140*50))</f>
        <v/>
      </c>
      <c r="AT140" s="54">
        <f>IF(A140="",0,(G140*25.51+N140*30+S140*7.5)/1000)</f>
        <v/>
      </c>
      <c r="AU140" s="54">
        <f>IF(A140="",0,(H140*21.74+V140*7.5)/1000)</f>
        <v/>
      </c>
      <c r="AV140" s="54">
        <f>IF(A140="",0,(G140*0.71)/1000)</f>
        <v/>
      </c>
      <c r="AW140" s="54">
        <f>IF(A140="",0,(AB140*5)/1000)</f>
        <v/>
      </c>
      <c r="AX140" s="54">
        <f>IF(A140="",0,(Y140*7)/1000)</f>
        <v/>
      </c>
      <c r="AY140" s="54">
        <f>IF(A140="",0,(AE140*7)/1000)</f>
        <v/>
      </c>
      <c r="AZ140" s="54">
        <f>IF(A140="",0,ROUNDUP((H140+N140)/115,0)*1.5)</f>
        <v/>
      </c>
      <c r="BA140" s="54">
        <f>IF(A140="",0,ROUNDUP((H140+N140)/115,0)*20)</f>
        <v/>
      </c>
      <c r="BB140" s="54">
        <f>IF(A140="",0,ROUNDUP((H140+N140)/115,0)*80)</f>
        <v/>
      </c>
      <c r="BC140" s="54">
        <f>IF(A140="",0,ROUNDUP((H140+N140)/115,0)*5)</f>
        <v/>
      </c>
      <c r="BD140" s="54">
        <f>IF(A140="",0,ROUNDUP((H140+N140)/115,0)*2.5)</f>
        <v/>
      </c>
    </row>
    <row r="141">
      <c r="A141" s="127" t="n"/>
      <c r="B141" s="128" t="n"/>
      <c r="C141" s="128" t="n"/>
      <c r="D141" s="116">
        <f>IF(A141="","",B141*1508)</f>
        <v/>
      </c>
      <c r="E141" s="128" t="n"/>
      <c r="F141" s="128" t="n"/>
      <c r="G141" s="128" t="n"/>
      <c r="H141" s="128" t="n"/>
      <c r="I141" s="116">
        <f>IF(A141="","",MAX((E141/2)-G141,0))</f>
        <v/>
      </c>
      <c r="J141" s="117">
        <f>IF(OR(A141="",E141=0),"",I141/(E141/2))</f>
        <v/>
      </c>
      <c r="K141" s="116">
        <f>IF(A141="","",MAX((F141/2)-H141,0))</f>
        <v/>
      </c>
      <c r="L141" s="117">
        <f>IF(OR(A141="",F141=0),"",K141/(F141/2))</f>
        <v/>
      </c>
      <c r="M141" s="128" t="n"/>
      <c r="N141" s="128" t="n"/>
      <c r="O141" s="116">
        <f>IF(A141="","",MAX((M141/3)-N141,0))</f>
        <v/>
      </c>
      <c r="P141" s="117">
        <f>IF(OR(A141="",M141=0),"",O141/(M141/3))</f>
        <v/>
      </c>
      <c r="Q141" s="116">
        <f>IF(A141="","",C141*1508)</f>
        <v/>
      </c>
      <c r="R141" s="128" t="n"/>
      <c r="S141" s="128" t="n"/>
      <c r="T141" s="117">
        <f>IF(OR(A141="",R141=0),"",MAX(R141-S141,0)/R141)</f>
        <v/>
      </c>
      <c r="U141" s="128" t="n"/>
      <c r="V141" s="128" t="n"/>
      <c r="W141" s="117">
        <f>IF(OR(A141="",U141=0),"",MAX(U141-V141,0)/U141)</f>
        <v/>
      </c>
      <c r="X141" s="128" t="n"/>
      <c r="Y141" s="128" t="n"/>
      <c r="Z141" s="117">
        <f>IF(OR(A141="",X141=0),"",MAX(X141-Y141,0)/X141)</f>
        <v/>
      </c>
      <c r="AA141" s="128" t="n"/>
      <c r="AB141" s="128" t="n"/>
      <c r="AC141" s="117">
        <f>IF(OR(A141="",AA141=0),"",MAX(AA141-AB141,0)/AA141)</f>
        <v/>
      </c>
      <c r="AD141" s="128" t="n"/>
      <c r="AE141" s="128" t="n"/>
      <c r="AF141" s="117">
        <f>IF(OR(A141="",AD141=0),"",MAX(AD141-AE141,0)/AD141)</f>
        <v/>
      </c>
      <c r="AG141" s="54">
        <f>IF(A141="",0,(B141*40)+(C141*40))</f>
        <v/>
      </c>
      <c r="AH141" s="54">
        <f>IF(A141="",0,(B141*100)+(C141*0))</f>
        <v/>
      </c>
      <c r="AI141" s="54">
        <f>IF(A141="",0,(B141*10)+(C141*0))</f>
        <v/>
      </c>
      <c r="AJ141" s="54">
        <f>IF(A141="",0,(B141*50)+(C141*0))</f>
        <v/>
      </c>
      <c r="AK141" s="54">
        <f>IF(A141="",0,(B141*20)+(C141*0))</f>
        <v/>
      </c>
      <c r="AL141" s="54">
        <f>IF(A141="",0,(B141*60)+(C141*0))</f>
        <v/>
      </c>
      <c r="AM141" s="54">
        <f>IF(A141="",0,(B141*4)+(C141*4))</f>
        <v/>
      </c>
      <c r="AN141" s="54">
        <f>IF(A141="",0,(B141*4)+(C141*4))</f>
        <v/>
      </c>
      <c r="AO141" s="54">
        <f>IF(A141="",0,(B141*6)+(C141*0))</f>
        <v/>
      </c>
      <c r="AP141" s="54">
        <f>IF(A141="",0,(B141*4)+(C141*10))</f>
        <v/>
      </c>
      <c r="AQ141" s="54">
        <f>IF(A141="",0,(B141*65)+(C141*80))</f>
        <v/>
      </c>
      <c r="AR141" s="54">
        <f>IF(A141="",0,(B141*0)+(C141*5))</f>
        <v/>
      </c>
      <c r="AS141" s="54">
        <f>IF(A141="",0,(B141*0)+(C141*50))</f>
        <v/>
      </c>
      <c r="AT141" s="54">
        <f>IF(A141="",0,(G141*25.51+N141*30+S141*7.5)/1000)</f>
        <v/>
      </c>
      <c r="AU141" s="54">
        <f>IF(A141="",0,(H141*21.74+V141*7.5)/1000)</f>
        <v/>
      </c>
      <c r="AV141" s="54">
        <f>IF(A141="",0,(G141*0.71)/1000)</f>
        <v/>
      </c>
      <c r="AW141" s="54">
        <f>IF(A141="",0,(AB141*5)/1000)</f>
        <v/>
      </c>
      <c r="AX141" s="54">
        <f>IF(A141="",0,(Y141*7)/1000)</f>
        <v/>
      </c>
      <c r="AY141" s="54">
        <f>IF(A141="",0,(AE141*7)/1000)</f>
        <v/>
      </c>
      <c r="AZ141" s="54">
        <f>IF(A141="",0,ROUNDUP((H141+N141)/115,0)*1.5)</f>
        <v/>
      </c>
      <c r="BA141" s="54">
        <f>IF(A141="",0,ROUNDUP((H141+N141)/115,0)*20)</f>
        <v/>
      </c>
      <c r="BB141" s="54">
        <f>IF(A141="",0,ROUNDUP((H141+N141)/115,0)*80)</f>
        <v/>
      </c>
      <c r="BC141" s="54">
        <f>IF(A141="",0,ROUNDUP((H141+N141)/115,0)*5)</f>
        <v/>
      </c>
      <c r="BD141" s="54">
        <f>IF(A141="",0,ROUNDUP((H141+N141)/115,0)*2.5)</f>
        <v/>
      </c>
    </row>
    <row r="142">
      <c r="A142" s="127" t="n"/>
      <c r="B142" s="128" t="n"/>
      <c r="C142" s="128" t="n"/>
      <c r="D142" s="116">
        <f>IF(A142="","",B142*1508)</f>
        <v/>
      </c>
      <c r="E142" s="128" t="n"/>
      <c r="F142" s="128" t="n"/>
      <c r="G142" s="128" t="n"/>
      <c r="H142" s="128" t="n"/>
      <c r="I142" s="116">
        <f>IF(A142="","",MAX((E142/2)-G142,0))</f>
        <v/>
      </c>
      <c r="J142" s="117">
        <f>IF(OR(A142="",E142=0),"",I142/(E142/2))</f>
        <v/>
      </c>
      <c r="K142" s="116">
        <f>IF(A142="","",MAX((F142/2)-H142,0))</f>
        <v/>
      </c>
      <c r="L142" s="117">
        <f>IF(OR(A142="",F142=0),"",K142/(F142/2))</f>
        <v/>
      </c>
      <c r="M142" s="128" t="n"/>
      <c r="N142" s="128" t="n"/>
      <c r="O142" s="116">
        <f>IF(A142="","",MAX((M142/3)-N142,0))</f>
        <v/>
      </c>
      <c r="P142" s="117">
        <f>IF(OR(A142="",M142=0),"",O142/(M142/3))</f>
        <v/>
      </c>
      <c r="Q142" s="116">
        <f>IF(A142="","",C142*1508)</f>
        <v/>
      </c>
      <c r="R142" s="128" t="n"/>
      <c r="S142" s="128" t="n"/>
      <c r="T142" s="117">
        <f>IF(OR(A142="",R142=0),"",MAX(R142-S142,0)/R142)</f>
        <v/>
      </c>
      <c r="U142" s="128" t="n"/>
      <c r="V142" s="128" t="n"/>
      <c r="W142" s="117">
        <f>IF(OR(A142="",U142=0),"",MAX(U142-V142,0)/U142)</f>
        <v/>
      </c>
      <c r="X142" s="128" t="n"/>
      <c r="Y142" s="128" t="n"/>
      <c r="Z142" s="117">
        <f>IF(OR(A142="",X142=0),"",MAX(X142-Y142,0)/X142)</f>
        <v/>
      </c>
      <c r="AA142" s="128" t="n"/>
      <c r="AB142" s="128" t="n"/>
      <c r="AC142" s="117">
        <f>IF(OR(A142="",AA142=0),"",MAX(AA142-AB142,0)/AA142)</f>
        <v/>
      </c>
      <c r="AD142" s="128" t="n"/>
      <c r="AE142" s="128" t="n"/>
      <c r="AF142" s="117">
        <f>IF(OR(A142="",AD142=0),"",MAX(AD142-AE142,0)/AD142)</f>
        <v/>
      </c>
      <c r="AG142" s="54">
        <f>IF(A142="",0,(B142*40)+(C142*40))</f>
        <v/>
      </c>
      <c r="AH142" s="54">
        <f>IF(A142="",0,(B142*100)+(C142*0))</f>
        <v/>
      </c>
      <c r="AI142" s="54">
        <f>IF(A142="",0,(B142*10)+(C142*0))</f>
        <v/>
      </c>
      <c r="AJ142" s="54">
        <f>IF(A142="",0,(B142*50)+(C142*0))</f>
        <v/>
      </c>
      <c r="AK142" s="54">
        <f>IF(A142="",0,(B142*20)+(C142*0))</f>
        <v/>
      </c>
      <c r="AL142" s="54">
        <f>IF(A142="",0,(B142*60)+(C142*0))</f>
        <v/>
      </c>
      <c r="AM142" s="54">
        <f>IF(A142="",0,(B142*4)+(C142*4))</f>
        <v/>
      </c>
      <c r="AN142" s="54">
        <f>IF(A142="",0,(B142*4)+(C142*4))</f>
        <v/>
      </c>
      <c r="AO142" s="54">
        <f>IF(A142="",0,(B142*6)+(C142*0))</f>
        <v/>
      </c>
      <c r="AP142" s="54">
        <f>IF(A142="",0,(B142*4)+(C142*10))</f>
        <v/>
      </c>
      <c r="AQ142" s="54">
        <f>IF(A142="",0,(B142*65)+(C142*80))</f>
        <v/>
      </c>
      <c r="AR142" s="54">
        <f>IF(A142="",0,(B142*0)+(C142*5))</f>
        <v/>
      </c>
      <c r="AS142" s="54">
        <f>IF(A142="",0,(B142*0)+(C142*50))</f>
        <v/>
      </c>
      <c r="AT142" s="54">
        <f>IF(A142="",0,(G142*25.51+N142*30+S142*7.5)/1000)</f>
        <v/>
      </c>
      <c r="AU142" s="54">
        <f>IF(A142="",0,(H142*21.74+V142*7.5)/1000)</f>
        <v/>
      </c>
      <c r="AV142" s="54">
        <f>IF(A142="",0,(G142*0.71)/1000)</f>
        <v/>
      </c>
      <c r="AW142" s="54">
        <f>IF(A142="",0,(AB142*5)/1000)</f>
        <v/>
      </c>
      <c r="AX142" s="54">
        <f>IF(A142="",0,(Y142*7)/1000)</f>
        <v/>
      </c>
      <c r="AY142" s="54">
        <f>IF(A142="",0,(AE142*7)/1000)</f>
        <v/>
      </c>
      <c r="AZ142" s="54">
        <f>IF(A142="",0,ROUNDUP((H142+N142)/115,0)*1.5)</f>
        <v/>
      </c>
      <c r="BA142" s="54">
        <f>IF(A142="",0,ROUNDUP((H142+N142)/115,0)*20)</f>
        <v/>
      </c>
      <c r="BB142" s="54">
        <f>IF(A142="",0,ROUNDUP((H142+N142)/115,0)*80)</f>
        <v/>
      </c>
      <c r="BC142" s="54">
        <f>IF(A142="",0,ROUNDUP((H142+N142)/115,0)*5)</f>
        <v/>
      </c>
      <c r="BD142" s="54">
        <f>IF(A142="",0,ROUNDUP((H142+N142)/115,0)*2.5)</f>
        <v/>
      </c>
    </row>
    <row r="143">
      <c r="A143" s="127" t="n"/>
      <c r="B143" s="128" t="n"/>
      <c r="C143" s="128" t="n"/>
      <c r="D143" s="116">
        <f>IF(A143="","",B143*1508)</f>
        <v/>
      </c>
      <c r="E143" s="128" t="n"/>
      <c r="F143" s="128" t="n"/>
      <c r="G143" s="128" t="n"/>
      <c r="H143" s="128" t="n"/>
      <c r="I143" s="116">
        <f>IF(A143="","",MAX((E143/2)-G143,0))</f>
        <v/>
      </c>
      <c r="J143" s="117">
        <f>IF(OR(A143="",E143=0),"",I143/(E143/2))</f>
        <v/>
      </c>
      <c r="K143" s="116">
        <f>IF(A143="","",MAX((F143/2)-H143,0))</f>
        <v/>
      </c>
      <c r="L143" s="117">
        <f>IF(OR(A143="",F143=0),"",K143/(F143/2))</f>
        <v/>
      </c>
      <c r="M143" s="128" t="n"/>
      <c r="N143" s="128" t="n"/>
      <c r="O143" s="116">
        <f>IF(A143="","",MAX((M143/3)-N143,0))</f>
        <v/>
      </c>
      <c r="P143" s="117">
        <f>IF(OR(A143="",M143=0),"",O143/(M143/3))</f>
        <v/>
      </c>
      <c r="Q143" s="116">
        <f>IF(A143="","",C143*1508)</f>
        <v/>
      </c>
      <c r="R143" s="128" t="n"/>
      <c r="S143" s="128" t="n"/>
      <c r="T143" s="117">
        <f>IF(OR(A143="",R143=0),"",MAX(R143-S143,0)/R143)</f>
        <v/>
      </c>
      <c r="U143" s="128" t="n"/>
      <c r="V143" s="128" t="n"/>
      <c r="W143" s="117">
        <f>IF(OR(A143="",U143=0),"",MAX(U143-V143,0)/U143)</f>
        <v/>
      </c>
      <c r="X143" s="128" t="n"/>
      <c r="Y143" s="128" t="n"/>
      <c r="Z143" s="117">
        <f>IF(OR(A143="",X143=0),"",MAX(X143-Y143,0)/X143)</f>
        <v/>
      </c>
      <c r="AA143" s="128" t="n"/>
      <c r="AB143" s="128" t="n"/>
      <c r="AC143" s="117">
        <f>IF(OR(A143="",AA143=0),"",MAX(AA143-AB143,0)/AA143)</f>
        <v/>
      </c>
      <c r="AD143" s="128" t="n"/>
      <c r="AE143" s="128" t="n"/>
      <c r="AF143" s="117">
        <f>IF(OR(A143="",AD143=0),"",MAX(AD143-AE143,0)/AD143)</f>
        <v/>
      </c>
      <c r="AG143" s="54">
        <f>IF(A143="",0,(B143*40)+(C143*40))</f>
        <v/>
      </c>
      <c r="AH143" s="54">
        <f>IF(A143="",0,(B143*100)+(C143*0))</f>
        <v/>
      </c>
      <c r="AI143" s="54">
        <f>IF(A143="",0,(B143*10)+(C143*0))</f>
        <v/>
      </c>
      <c r="AJ143" s="54">
        <f>IF(A143="",0,(B143*50)+(C143*0))</f>
        <v/>
      </c>
      <c r="AK143" s="54">
        <f>IF(A143="",0,(B143*20)+(C143*0))</f>
        <v/>
      </c>
      <c r="AL143" s="54">
        <f>IF(A143="",0,(B143*60)+(C143*0))</f>
        <v/>
      </c>
      <c r="AM143" s="54">
        <f>IF(A143="",0,(B143*4)+(C143*4))</f>
        <v/>
      </c>
      <c r="AN143" s="54">
        <f>IF(A143="",0,(B143*4)+(C143*4))</f>
        <v/>
      </c>
      <c r="AO143" s="54">
        <f>IF(A143="",0,(B143*6)+(C143*0))</f>
        <v/>
      </c>
      <c r="AP143" s="54">
        <f>IF(A143="",0,(B143*4)+(C143*10))</f>
        <v/>
      </c>
      <c r="AQ143" s="54">
        <f>IF(A143="",0,(B143*65)+(C143*80))</f>
        <v/>
      </c>
      <c r="AR143" s="54">
        <f>IF(A143="",0,(B143*0)+(C143*5))</f>
        <v/>
      </c>
      <c r="AS143" s="54">
        <f>IF(A143="",0,(B143*0)+(C143*50))</f>
        <v/>
      </c>
      <c r="AT143" s="54">
        <f>IF(A143="",0,(G143*25.51+N143*30+S143*7.5)/1000)</f>
        <v/>
      </c>
      <c r="AU143" s="54">
        <f>IF(A143="",0,(H143*21.74+V143*7.5)/1000)</f>
        <v/>
      </c>
      <c r="AV143" s="54">
        <f>IF(A143="",0,(G143*0.71)/1000)</f>
        <v/>
      </c>
      <c r="AW143" s="54">
        <f>IF(A143="",0,(AB143*5)/1000)</f>
        <v/>
      </c>
      <c r="AX143" s="54">
        <f>IF(A143="",0,(Y143*7)/1000)</f>
        <v/>
      </c>
      <c r="AY143" s="54">
        <f>IF(A143="",0,(AE143*7)/1000)</f>
        <v/>
      </c>
      <c r="AZ143" s="54">
        <f>IF(A143="",0,ROUNDUP((H143+N143)/115,0)*1.5)</f>
        <v/>
      </c>
      <c r="BA143" s="54">
        <f>IF(A143="",0,ROUNDUP((H143+N143)/115,0)*20)</f>
        <v/>
      </c>
      <c r="BB143" s="54">
        <f>IF(A143="",0,ROUNDUP((H143+N143)/115,0)*80)</f>
        <v/>
      </c>
      <c r="BC143" s="54">
        <f>IF(A143="",0,ROUNDUP((H143+N143)/115,0)*5)</f>
        <v/>
      </c>
      <c r="BD143" s="54">
        <f>IF(A143="",0,ROUNDUP((H143+N143)/115,0)*2.5)</f>
        <v/>
      </c>
    </row>
    <row r="144">
      <c r="A144" s="127" t="n"/>
      <c r="B144" s="128" t="n"/>
      <c r="C144" s="128" t="n"/>
      <c r="D144" s="116">
        <f>IF(A144="","",B144*1508)</f>
        <v/>
      </c>
      <c r="E144" s="128" t="n"/>
      <c r="F144" s="128" t="n"/>
      <c r="G144" s="128" t="n"/>
      <c r="H144" s="128" t="n"/>
      <c r="I144" s="116">
        <f>IF(A144="","",MAX((E144/2)-G144,0))</f>
        <v/>
      </c>
      <c r="J144" s="117">
        <f>IF(OR(A144="",E144=0),"",I144/(E144/2))</f>
        <v/>
      </c>
      <c r="K144" s="116">
        <f>IF(A144="","",MAX((F144/2)-H144,0))</f>
        <v/>
      </c>
      <c r="L144" s="117">
        <f>IF(OR(A144="",F144=0),"",K144/(F144/2))</f>
        <v/>
      </c>
      <c r="M144" s="128" t="n"/>
      <c r="N144" s="128" t="n"/>
      <c r="O144" s="116">
        <f>IF(A144="","",MAX((M144/3)-N144,0))</f>
        <v/>
      </c>
      <c r="P144" s="117">
        <f>IF(OR(A144="",M144=0),"",O144/(M144/3))</f>
        <v/>
      </c>
      <c r="Q144" s="116">
        <f>IF(A144="","",C144*1508)</f>
        <v/>
      </c>
      <c r="R144" s="128" t="n"/>
      <c r="S144" s="128" t="n"/>
      <c r="T144" s="117">
        <f>IF(OR(A144="",R144=0),"",MAX(R144-S144,0)/R144)</f>
        <v/>
      </c>
      <c r="U144" s="128" t="n"/>
      <c r="V144" s="128" t="n"/>
      <c r="W144" s="117">
        <f>IF(OR(A144="",U144=0),"",MAX(U144-V144,0)/U144)</f>
        <v/>
      </c>
      <c r="X144" s="128" t="n"/>
      <c r="Y144" s="128" t="n"/>
      <c r="Z144" s="117">
        <f>IF(OR(A144="",X144=0),"",MAX(X144-Y144,0)/X144)</f>
        <v/>
      </c>
      <c r="AA144" s="128" t="n"/>
      <c r="AB144" s="128" t="n"/>
      <c r="AC144" s="117">
        <f>IF(OR(A144="",AA144=0),"",MAX(AA144-AB144,0)/AA144)</f>
        <v/>
      </c>
      <c r="AD144" s="128" t="n"/>
      <c r="AE144" s="128" t="n"/>
      <c r="AF144" s="117">
        <f>IF(OR(A144="",AD144=0),"",MAX(AD144-AE144,0)/AD144)</f>
        <v/>
      </c>
      <c r="AG144" s="54">
        <f>IF(A144="",0,(B144*40)+(C144*40))</f>
        <v/>
      </c>
      <c r="AH144" s="54">
        <f>IF(A144="",0,(B144*100)+(C144*0))</f>
        <v/>
      </c>
      <c r="AI144" s="54">
        <f>IF(A144="",0,(B144*10)+(C144*0))</f>
        <v/>
      </c>
      <c r="AJ144" s="54">
        <f>IF(A144="",0,(B144*50)+(C144*0))</f>
        <v/>
      </c>
      <c r="AK144" s="54">
        <f>IF(A144="",0,(B144*20)+(C144*0))</f>
        <v/>
      </c>
      <c r="AL144" s="54">
        <f>IF(A144="",0,(B144*60)+(C144*0))</f>
        <v/>
      </c>
      <c r="AM144" s="54">
        <f>IF(A144="",0,(B144*4)+(C144*4))</f>
        <v/>
      </c>
      <c r="AN144" s="54">
        <f>IF(A144="",0,(B144*4)+(C144*4))</f>
        <v/>
      </c>
      <c r="AO144" s="54">
        <f>IF(A144="",0,(B144*6)+(C144*0))</f>
        <v/>
      </c>
      <c r="AP144" s="54">
        <f>IF(A144="",0,(B144*4)+(C144*10))</f>
        <v/>
      </c>
      <c r="AQ144" s="54">
        <f>IF(A144="",0,(B144*65)+(C144*80))</f>
        <v/>
      </c>
      <c r="AR144" s="54">
        <f>IF(A144="",0,(B144*0)+(C144*5))</f>
        <v/>
      </c>
      <c r="AS144" s="54">
        <f>IF(A144="",0,(B144*0)+(C144*50))</f>
        <v/>
      </c>
      <c r="AT144" s="54">
        <f>IF(A144="",0,(G144*25.51+N144*30+S144*7.5)/1000)</f>
        <v/>
      </c>
      <c r="AU144" s="54">
        <f>IF(A144="",0,(H144*21.74+V144*7.5)/1000)</f>
        <v/>
      </c>
      <c r="AV144" s="54">
        <f>IF(A144="",0,(G144*0.71)/1000)</f>
        <v/>
      </c>
      <c r="AW144" s="54">
        <f>IF(A144="",0,(AB144*5)/1000)</f>
        <v/>
      </c>
      <c r="AX144" s="54">
        <f>IF(A144="",0,(Y144*7)/1000)</f>
        <v/>
      </c>
      <c r="AY144" s="54">
        <f>IF(A144="",0,(AE144*7)/1000)</f>
        <v/>
      </c>
      <c r="AZ144" s="54">
        <f>IF(A144="",0,ROUNDUP((H144+N144)/115,0)*1.5)</f>
        <v/>
      </c>
      <c r="BA144" s="54">
        <f>IF(A144="",0,ROUNDUP((H144+N144)/115,0)*20)</f>
        <v/>
      </c>
      <c r="BB144" s="54">
        <f>IF(A144="",0,ROUNDUP((H144+N144)/115,0)*80)</f>
        <v/>
      </c>
      <c r="BC144" s="54">
        <f>IF(A144="",0,ROUNDUP((H144+N144)/115,0)*5)</f>
        <v/>
      </c>
      <c r="BD144" s="54">
        <f>IF(A144="",0,ROUNDUP((H144+N144)/115,0)*2.5)</f>
        <v/>
      </c>
    </row>
    <row r="145">
      <c r="A145" s="127" t="n"/>
      <c r="B145" s="128" t="n"/>
      <c r="C145" s="128" t="n"/>
      <c r="D145" s="116">
        <f>IF(A145="","",B145*1508)</f>
        <v/>
      </c>
      <c r="E145" s="128" t="n"/>
      <c r="F145" s="128" t="n"/>
      <c r="G145" s="128" t="n"/>
      <c r="H145" s="128" t="n"/>
      <c r="I145" s="116">
        <f>IF(A145="","",MAX((E145/2)-G145,0))</f>
        <v/>
      </c>
      <c r="J145" s="117">
        <f>IF(OR(A145="",E145=0),"",I145/(E145/2))</f>
        <v/>
      </c>
      <c r="K145" s="116">
        <f>IF(A145="","",MAX((F145/2)-H145,0))</f>
        <v/>
      </c>
      <c r="L145" s="117">
        <f>IF(OR(A145="",F145=0),"",K145/(F145/2))</f>
        <v/>
      </c>
      <c r="M145" s="128" t="n"/>
      <c r="N145" s="128" t="n"/>
      <c r="O145" s="116">
        <f>IF(A145="","",MAX((M145/3)-N145,0))</f>
        <v/>
      </c>
      <c r="P145" s="117">
        <f>IF(OR(A145="",M145=0),"",O145/(M145/3))</f>
        <v/>
      </c>
      <c r="Q145" s="116">
        <f>IF(A145="","",C145*1508)</f>
        <v/>
      </c>
      <c r="R145" s="128" t="n"/>
      <c r="S145" s="128" t="n"/>
      <c r="T145" s="117">
        <f>IF(OR(A145="",R145=0),"",MAX(R145-S145,0)/R145)</f>
        <v/>
      </c>
      <c r="U145" s="128" t="n"/>
      <c r="V145" s="128" t="n"/>
      <c r="W145" s="117">
        <f>IF(OR(A145="",U145=0),"",MAX(U145-V145,0)/U145)</f>
        <v/>
      </c>
      <c r="X145" s="128" t="n"/>
      <c r="Y145" s="128" t="n"/>
      <c r="Z145" s="117">
        <f>IF(OR(A145="",X145=0),"",MAX(X145-Y145,0)/X145)</f>
        <v/>
      </c>
      <c r="AA145" s="128" t="n"/>
      <c r="AB145" s="128" t="n"/>
      <c r="AC145" s="117">
        <f>IF(OR(A145="",AA145=0),"",MAX(AA145-AB145,0)/AA145)</f>
        <v/>
      </c>
      <c r="AD145" s="128" t="n"/>
      <c r="AE145" s="128" t="n"/>
      <c r="AF145" s="117">
        <f>IF(OR(A145="",AD145=0),"",MAX(AD145-AE145,0)/AD145)</f>
        <v/>
      </c>
      <c r="AG145" s="54">
        <f>IF(A145="",0,(B145*40)+(C145*40))</f>
        <v/>
      </c>
      <c r="AH145" s="54">
        <f>IF(A145="",0,(B145*100)+(C145*0))</f>
        <v/>
      </c>
      <c r="AI145" s="54">
        <f>IF(A145="",0,(B145*10)+(C145*0))</f>
        <v/>
      </c>
      <c r="AJ145" s="54">
        <f>IF(A145="",0,(B145*50)+(C145*0))</f>
        <v/>
      </c>
      <c r="AK145" s="54">
        <f>IF(A145="",0,(B145*20)+(C145*0))</f>
        <v/>
      </c>
      <c r="AL145" s="54">
        <f>IF(A145="",0,(B145*60)+(C145*0))</f>
        <v/>
      </c>
      <c r="AM145" s="54">
        <f>IF(A145="",0,(B145*4)+(C145*4))</f>
        <v/>
      </c>
      <c r="AN145" s="54">
        <f>IF(A145="",0,(B145*4)+(C145*4))</f>
        <v/>
      </c>
      <c r="AO145" s="54">
        <f>IF(A145="",0,(B145*6)+(C145*0))</f>
        <v/>
      </c>
      <c r="AP145" s="54">
        <f>IF(A145="",0,(B145*4)+(C145*10))</f>
        <v/>
      </c>
      <c r="AQ145" s="54">
        <f>IF(A145="",0,(B145*65)+(C145*80))</f>
        <v/>
      </c>
      <c r="AR145" s="54">
        <f>IF(A145="",0,(B145*0)+(C145*5))</f>
        <v/>
      </c>
      <c r="AS145" s="54">
        <f>IF(A145="",0,(B145*0)+(C145*50))</f>
        <v/>
      </c>
      <c r="AT145" s="54">
        <f>IF(A145="",0,(G145*25.51+N145*30+S145*7.5)/1000)</f>
        <v/>
      </c>
      <c r="AU145" s="54">
        <f>IF(A145="",0,(H145*21.74+V145*7.5)/1000)</f>
        <v/>
      </c>
      <c r="AV145" s="54">
        <f>IF(A145="",0,(G145*0.71)/1000)</f>
        <v/>
      </c>
      <c r="AW145" s="54">
        <f>IF(A145="",0,(AB145*5)/1000)</f>
        <v/>
      </c>
      <c r="AX145" s="54">
        <f>IF(A145="",0,(Y145*7)/1000)</f>
        <v/>
      </c>
      <c r="AY145" s="54">
        <f>IF(A145="",0,(AE145*7)/1000)</f>
        <v/>
      </c>
      <c r="AZ145" s="54">
        <f>IF(A145="",0,ROUNDUP((H145+N145)/115,0)*1.5)</f>
        <v/>
      </c>
      <c r="BA145" s="54">
        <f>IF(A145="",0,ROUNDUP((H145+N145)/115,0)*20)</f>
        <v/>
      </c>
      <c r="BB145" s="54">
        <f>IF(A145="",0,ROUNDUP((H145+N145)/115,0)*80)</f>
        <v/>
      </c>
      <c r="BC145" s="54">
        <f>IF(A145="",0,ROUNDUP((H145+N145)/115,0)*5)</f>
        <v/>
      </c>
      <c r="BD145" s="54">
        <f>IF(A145="",0,ROUNDUP((H145+N145)/115,0)*2.5)</f>
        <v/>
      </c>
    </row>
    <row r="146">
      <c r="A146" s="127" t="n"/>
      <c r="B146" s="128" t="n"/>
      <c r="C146" s="128" t="n"/>
      <c r="D146" s="116">
        <f>IF(A146="","",B146*1508)</f>
        <v/>
      </c>
      <c r="E146" s="128" t="n"/>
      <c r="F146" s="128" t="n"/>
      <c r="G146" s="128" t="n"/>
      <c r="H146" s="128" t="n"/>
      <c r="I146" s="116">
        <f>IF(A146="","",MAX((E146/2)-G146,0))</f>
        <v/>
      </c>
      <c r="J146" s="117">
        <f>IF(OR(A146="",E146=0),"",I146/(E146/2))</f>
        <v/>
      </c>
      <c r="K146" s="116">
        <f>IF(A146="","",MAX((F146/2)-H146,0))</f>
        <v/>
      </c>
      <c r="L146" s="117">
        <f>IF(OR(A146="",F146=0),"",K146/(F146/2))</f>
        <v/>
      </c>
      <c r="M146" s="128" t="n"/>
      <c r="N146" s="128" t="n"/>
      <c r="O146" s="116">
        <f>IF(A146="","",MAX((M146/3)-N146,0))</f>
        <v/>
      </c>
      <c r="P146" s="117">
        <f>IF(OR(A146="",M146=0),"",O146/(M146/3))</f>
        <v/>
      </c>
      <c r="Q146" s="116">
        <f>IF(A146="","",C146*1508)</f>
        <v/>
      </c>
      <c r="R146" s="128" t="n"/>
      <c r="S146" s="128" t="n"/>
      <c r="T146" s="117">
        <f>IF(OR(A146="",R146=0),"",MAX(R146-S146,0)/R146)</f>
        <v/>
      </c>
      <c r="U146" s="128" t="n"/>
      <c r="V146" s="128" t="n"/>
      <c r="W146" s="117">
        <f>IF(OR(A146="",U146=0),"",MAX(U146-V146,0)/U146)</f>
        <v/>
      </c>
      <c r="X146" s="128" t="n"/>
      <c r="Y146" s="128" t="n"/>
      <c r="Z146" s="117">
        <f>IF(OR(A146="",X146=0),"",MAX(X146-Y146,0)/X146)</f>
        <v/>
      </c>
      <c r="AA146" s="128" t="n"/>
      <c r="AB146" s="128" t="n"/>
      <c r="AC146" s="117">
        <f>IF(OR(A146="",AA146=0),"",MAX(AA146-AB146,0)/AA146)</f>
        <v/>
      </c>
      <c r="AD146" s="128" t="n"/>
      <c r="AE146" s="128" t="n"/>
      <c r="AF146" s="117">
        <f>IF(OR(A146="",AD146=0),"",MAX(AD146-AE146,0)/AD146)</f>
        <v/>
      </c>
      <c r="AG146" s="54">
        <f>IF(A146="",0,(B146*40)+(C146*40))</f>
        <v/>
      </c>
      <c r="AH146" s="54">
        <f>IF(A146="",0,(B146*100)+(C146*0))</f>
        <v/>
      </c>
      <c r="AI146" s="54">
        <f>IF(A146="",0,(B146*10)+(C146*0))</f>
        <v/>
      </c>
      <c r="AJ146" s="54">
        <f>IF(A146="",0,(B146*50)+(C146*0))</f>
        <v/>
      </c>
      <c r="AK146" s="54">
        <f>IF(A146="",0,(B146*20)+(C146*0))</f>
        <v/>
      </c>
      <c r="AL146" s="54">
        <f>IF(A146="",0,(B146*60)+(C146*0))</f>
        <v/>
      </c>
      <c r="AM146" s="54">
        <f>IF(A146="",0,(B146*4)+(C146*4))</f>
        <v/>
      </c>
      <c r="AN146" s="54">
        <f>IF(A146="",0,(B146*4)+(C146*4))</f>
        <v/>
      </c>
      <c r="AO146" s="54">
        <f>IF(A146="",0,(B146*6)+(C146*0))</f>
        <v/>
      </c>
      <c r="AP146" s="54">
        <f>IF(A146="",0,(B146*4)+(C146*10))</f>
        <v/>
      </c>
      <c r="AQ146" s="54">
        <f>IF(A146="",0,(B146*65)+(C146*80))</f>
        <v/>
      </c>
      <c r="AR146" s="54">
        <f>IF(A146="",0,(B146*0)+(C146*5))</f>
        <v/>
      </c>
      <c r="AS146" s="54">
        <f>IF(A146="",0,(B146*0)+(C146*50))</f>
        <v/>
      </c>
      <c r="AT146" s="54">
        <f>IF(A146="",0,(G146*25.51+N146*30+S146*7.5)/1000)</f>
        <v/>
      </c>
      <c r="AU146" s="54">
        <f>IF(A146="",0,(H146*21.74+V146*7.5)/1000)</f>
        <v/>
      </c>
      <c r="AV146" s="54">
        <f>IF(A146="",0,(G146*0.71)/1000)</f>
        <v/>
      </c>
      <c r="AW146" s="54">
        <f>IF(A146="",0,(AB146*5)/1000)</f>
        <v/>
      </c>
      <c r="AX146" s="54">
        <f>IF(A146="",0,(Y146*7)/1000)</f>
        <v/>
      </c>
      <c r="AY146" s="54">
        <f>IF(A146="",0,(AE146*7)/1000)</f>
        <v/>
      </c>
      <c r="AZ146" s="54">
        <f>IF(A146="",0,ROUNDUP((H146+N146)/115,0)*1.5)</f>
        <v/>
      </c>
      <c r="BA146" s="54">
        <f>IF(A146="",0,ROUNDUP((H146+N146)/115,0)*20)</f>
        <v/>
      </c>
      <c r="BB146" s="54">
        <f>IF(A146="",0,ROUNDUP((H146+N146)/115,0)*80)</f>
        <v/>
      </c>
      <c r="BC146" s="54">
        <f>IF(A146="",0,ROUNDUP((H146+N146)/115,0)*5)</f>
        <v/>
      </c>
      <c r="BD146" s="54">
        <f>IF(A146="",0,ROUNDUP((H146+N146)/115,0)*2.5)</f>
        <v/>
      </c>
    </row>
    <row r="147">
      <c r="A147" s="127" t="n"/>
      <c r="B147" s="128" t="n"/>
      <c r="C147" s="128" t="n"/>
      <c r="D147" s="116">
        <f>IF(A147="","",B147*1508)</f>
        <v/>
      </c>
      <c r="E147" s="128" t="n"/>
      <c r="F147" s="128" t="n"/>
      <c r="G147" s="128" t="n"/>
      <c r="H147" s="128" t="n"/>
      <c r="I147" s="116">
        <f>IF(A147="","",MAX((E147/2)-G147,0))</f>
        <v/>
      </c>
      <c r="J147" s="117">
        <f>IF(OR(A147="",E147=0),"",I147/(E147/2))</f>
        <v/>
      </c>
      <c r="K147" s="116">
        <f>IF(A147="","",MAX((F147/2)-H147,0))</f>
        <v/>
      </c>
      <c r="L147" s="117">
        <f>IF(OR(A147="",F147=0),"",K147/(F147/2))</f>
        <v/>
      </c>
      <c r="M147" s="128" t="n"/>
      <c r="N147" s="128" t="n"/>
      <c r="O147" s="116">
        <f>IF(A147="","",MAX((M147/3)-N147,0))</f>
        <v/>
      </c>
      <c r="P147" s="117">
        <f>IF(OR(A147="",M147=0),"",O147/(M147/3))</f>
        <v/>
      </c>
      <c r="Q147" s="116">
        <f>IF(A147="","",C147*1508)</f>
        <v/>
      </c>
      <c r="R147" s="128" t="n"/>
      <c r="S147" s="128" t="n"/>
      <c r="T147" s="117">
        <f>IF(OR(A147="",R147=0),"",MAX(R147-S147,0)/R147)</f>
        <v/>
      </c>
      <c r="U147" s="128" t="n"/>
      <c r="V147" s="128" t="n"/>
      <c r="W147" s="117">
        <f>IF(OR(A147="",U147=0),"",MAX(U147-V147,0)/U147)</f>
        <v/>
      </c>
      <c r="X147" s="128" t="n"/>
      <c r="Y147" s="128" t="n"/>
      <c r="Z147" s="117">
        <f>IF(OR(A147="",X147=0),"",MAX(X147-Y147,0)/X147)</f>
        <v/>
      </c>
      <c r="AA147" s="128" t="n"/>
      <c r="AB147" s="128" t="n"/>
      <c r="AC147" s="117">
        <f>IF(OR(A147="",AA147=0),"",MAX(AA147-AB147,0)/AA147)</f>
        <v/>
      </c>
      <c r="AD147" s="128" t="n"/>
      <c r="AE147" s="128" t="n"/>
      <c r="AF147" s="117">
        <f>IF(OR(A147="",AD147=0),"",MAX(AD147-AE147,0)/AD147)</f>
        <v/>
      </c>
      <c r="AG147" s="54">
        <f>IF(A147="",0,(B147*40)+(C147*40))</f>
        <v/>
      </c>
      <c r="AH147" s="54">
        <f>IF(A147="",0,(B147*100)+(C147*0))</f>
        <v/>
      </c>
      <c r="AI147" s="54">
        <f>IF(A147="",0,(B147*10)+(C147*0))</f>
        <v/>
      </c>
      <c r="AJ147" s="54">
        <f>IF(A147="",0,(B147*50)+(C147*0))</f>
        <v/>
      </c>
      <c r="AK147" s="54">
        <f>IF(A147="",0,(B147*20)+(C147*0))</f>
        <v/>
      </c>
      <c r="AL147" s="54">
        <f>IF(A147="",0,(B147*60)+(C147*0))</f>
        <v/>
      </c>
      <c r="AM147" s="54">
        <f>IF(A147="",0,(B147*4)+(C147*4))</f>
        <v/>
      </c>
      <c r="AN147" s="54">
        <f>IF(A147="",0,(B147*4)+(C147*4))</f>
        <v/>
      </c>
      <c r="AO147" s="54">
        <f>IF(A147="",0,(B147*6)+(C147*0))</f>
        <v/>
      </c>
      <c r="AP147" s="54">
        <f>IF(A147="",0,(B147*4)+(C147*10))</f>
        <v/>
      </c>
      <c r="AQ147" s="54">
        <f>IF(A147="",0,(B147*65)+(C147*80))</f>
        <v/>
      </c>
      <c r="AR147" s="54">
        <f>IF(A147="",0,(B147*0)+(C147*5))</f>
        <v/>
      </c>
      <c r="AS147" s="54">
        <f>IF(A147="",0,(B147*0)+(C147*50))</f>
        <v/>
      </c>
      <c r="AT147" s="54">
        <f>IF(A147="",0,(G147*25.51+N147*30+S147*7.5)/1000)</f>
        <v/>
      </c>
      <c r="AU147" s="54">
        <f>IF(A147="",0,(H147*21.74+V147*7.5)/1000)</f>
        <v/>
      </c>
      <c r="AV147" s="54">
        <f>IF(A147="",0,(G147*0.71)/1000)</f>
        <v/>
      </c>
      <c r="AW147" s="54">
        <f>IF(A147="",0,(AB147*5)/1000)</f>
        <v/>
      </c>
      <c r="AX147" s="54">
        <f>IF(A147="",0,(Y147*7)/1000)</f>
        <v/>
      </c>
      <c r="AY147" s="54">
        <f>IF(A147="",0,(AE147*7)/1000)</f>
        <v/>
      </c>
      <c r="AZ147" s="54">
        <f>IF(A147="",0,ROUNDUP((H147+N147)/115,0)*1.5)</f>
        <v/>
      </c>
      <c r="BA147" s="54">
        <f>IF(A147="",0,ROUNDUP((H147+N147)/115,0)*20)</f>
        <v/>
      </c>
      <c r="BB147" s="54">
        <f>IF(A147="",0,ROUNDUP((H147+N147)/115,0)*80)</f>
        <v/>
      </c>
      <c r="BC147" s="54">
        <f>IF(A147="",0,ROUNDUP((H147+N147)/115,0)*5)</f>
        <v/>
      </c>
      <c r="BD147" s="54">
        <f>IF(A147="",0,ROUNDUP((H147+N147)/115,0)*2.5)</f>
        <v/>
      </c>
    </row>
    <row r="148">
      <c r="A148" s="127" t="n"/>
      <c r="B148" s="128" t="n"/>
      <c r="C148" s="128" t="n"/>
      <c r="D148" s="116">
        <f>IF(A148="","",B148*1508)</f>
        <v/>
      </c>
      <c r="E148" s="128" t="n"/>
      <c r="F148" s="128" t="n"/>
      <c r="G148" s="128" t="n"/>
      <c r="H148" s="128" t="n"/>
      <c r="I148" s="116">
        <f>IF(A148="","",MAX((E148/2)-G148,0))</f>
        <v/>
      </c>
      <c r="J148" s="117">
        <f>IF(OR(A148="",E148=0),"",I148/(E148/2))</f>
        <v/>
      </c>
      <c r="K148" s="116">
        <f>IF(A148="","",MAX((F148/2)-H148,0))</f>
        <v/>
      </c>
      <c r="L148" s="117">
        <f>IF(OR(A148="",F148=0),"",K148/(F148/2))</f>
        <v/>
      </c>
      <c r="M148" s="128" t="n"/>
      <c r="N148" s="128" t="n"/>
      <c r="O148" s="116">
        <f>IF(A148="","",MAX((M148/3)-N148,0))</f>
        <v/>
      </c>
      <c r="P148" s="117">
        <f>IF(OR(A148="",M148=0),"",O148/(M148/3))</f>
        <v/>
      </c>
      <c r="Q148" s="116">
        <f>IF(A148="","",C148*1508)</f>
        <v/>
      </c>
      <c r="R148" s="128" t="n"/>
      <c r="S148" s="128" t="n"/>
      <c r="T148" s="117">
        <f>IF(OR(A148="",R148=0),"",MAX(R148-S148,0)/R148)</f>
        <v/>
      </c>
      <c r="U148" s="128" t="n"/>
      <c r="V148" s="128" t="n"/>
      <c r="W148" s="117">
        <f>IF(OR(A148="",U148=0),"",MAX(U148-V148,0)/U148)</f>
        <v/>
      </c>
      <c r="X148" s="128" t="n"/>
      <c r="Y148" s="128" t="n"/>
      <c r="Z148" s="117">
        <f>IF(OR(A148="",X148=0),"",MAX(X148-Y148,0)/X148)</f>
        <v/>
      </c>
      <c r="AA148" s="128" t="n"/>
      <c r="AB148" s="128" t="n"/>
      <c r="AC148" s="117">
        <f>IF(OR(A148="",AA148=0),"",MAX(AA148-AB148,0)/AA148)</f>
        <v/>
      </c>
      <c r="AD148" s="128" t="n"/>
      <c r="AE148" s="128" t="n"/>
      <c r="AF148" s="117">
        <f>IF(OR(A148="",AD148=0),"",MAX(AD148-AE148,0)/AD148)</f>
        <v/>
      </c>
      <c r="AG148" s="54">
        <f>IF(A148="",0,(B148*40)+(C148*40))</f>
        <v/>
      </c>
      <c r="AH148" s="54">
        <f>IF(A148="",0,(B148*100)+(C148*0))</f>
        <v/>
      </c>
      <c r="AI148" s="54">
        <f>IF(A148="",0,(B148*10)+(C148*0))</f>
        <v/>
      </c>
      <c r="AJ148" s="54">
        <f>IF(A148="",0,(B148*50)+(C148*0))</f>
        <v/>
      </c>
      <c r="AK148" s="54">
        <f>IF(A148="",0,(B148*20)+(C148*0))</f>
        <v/>
      </c>
      <c r="AL148" s="54">
        <f>IF(A148="",0,(B148*60)+(C148*0))</f>
        <v/>
      </c>
      <c r="AM148" s="54">
        <f>IF(A148="",0,(B148*4)+(C148*4))</f>
        <v/>
      </c>
      <c r="AN148" s="54">
        <f>IF(A148="",0,(B148*4)+(C148*4))</f>
        <v/>
      </c>
      <c r="AO148" s="54">
        <f>IF(A148="",0,(B148*6)+(C148*0))</f>
        <v/>
      </c>
      <c r="AP148" s="54">
        <f>IF(A148="",0,(B148*4)+(C148*10))</f>
        <v/>
      </c>
      <c r="AQ148" s="54">
        <f>IF(A148="",0,(B148*65)+(C148*80))</f>
        <v/>
      </c>
      <c r="AR148" s="54">
        <f>IF(A148="",0,(B148*0)+(C148*5))</f>
        <v/>
      </c>
      <c r="AS148" s="54">
        <f>IF(A148="",0,(B148*0)+(C148*50))</f>
        <v/>
      </c>
      <c r="AT148" s="54">
        <f>IF(A148="",0,(G148*25.51+N148*30+S148*7.5)/1000)</f>
        <v/>
      </c>
      <c r="AU148" s="54">
        <f>IF(A148="",0,(H148*21.74+V148*7.5)/1000)</f>
        <v/>
      </c>
      <c r="AV148" s="54">
        <f>IF(A148="",0,(G148*0.71)/1000)</f>
        <v/>
      </c>
      <c r="AW148" s="54">
        <f>IF(A148="",0,(AB148*5)/1000)</f>
        <v/>
      </c>
      <c r="AX148" s="54">
        <f>IF(A148="",0,(Y148*7)/1000)</f>
        <v/>
      </c>
      <c r="AY148" s="54">
        <f>IF(A148="",0,(AE148*7)/1000)</f>
        <v/>
      </c>
      <c r="AZ148" s="54">
        <f>IF(A148="",0,ROUNDUP((H148+N148)/115,0)*1.5)</f>
        <v/>
      </c>
      <c r="BA148" s="54">
        <f>IF(A148="",0,ROUNDUP((H148+N148)/115,0)*20)</f>
        <v/>
      </c>
      <c r="BB148" s="54">
        <f>IF(A148="",0,ROUNDUP((H148+N148)/115,0)*80)</f>
        <v/>
      </c>
      <c r="BC148" s="54">
        <f>IF(A148="",0,ROUNDUP((H148+N148)/115,0)*5)</f>
        <v/>
      </c>
      <c r="BD148" s="54">
        <f>IF(A148="",0,ROUNDUP((H148+N148)/115,0)*2.5)</f>
        <v/>
      </c>
    </row>
    <row r="149">
      <c r="A149" s="127" t="n"/>
      <c r="B149" s="128" t="n"/>
      <c r="C149" s="128" t="n"/>
      <c r="D149" s="116">
        <f>IF(A149="","",B149*1508)</f>
        <v/>
      </c>
      <c r="E149" s="128" t="n"/>
      <c r="F149" s="128" t="n"/>
      <c r="G149" s="128" t="n"/>
      <c r="H149" s="128" t="n"/>
      <c r="I149" s="116">
        <f>IF(A149="","",MAX((E149/2)-G149,0))</f>
        <v/>
      </c>
      <c r="J149" s="117">
        <f>IF(OR(A149="",E149=0),"",I149/(E149/2))</f>
        <v/>
      </c>
      <c r="K149" s="116">
        <f>IF(A149="","",MAX((F149/2)-H149,0))</f>
        <v/>
      </c>
      <c r="L149" s="117">
        <f>IF(OR(A149="",F149=0),"",K149/(F149/2))</f>
        <v/>
      </c>
      <c r="M149" s="128" t="n"/>
      <c r="N149" s="128" t="n"/>
      <c r="O149" s="116">
        <f>IF(A149="","",MAX((M149/3)-N149,0))</f>
        <v/>
      </c>
      <c r="P149" s="117">
        <f>IF(OR(A149="",M149=0),"",O149/(M149/3))</f>
        <v/>
      </c>
      <c r="Q149" s="116">
        <f>IF(A149="","",C149*1508)</f>
        <v/>
      </c>
      <c r="R149" s="128" t="n"/>
      <c r="S149" s="128" t="n"/>
      <c r="T149" s="117">
        <f>IF(OR(A149="",R149=0),"",MAX(R149-S149,0)/R149)</f>
        <v/>
      </c>
      <c r="U149" s="128" t="n"/>
      <c r="V149" s="128" t="n"/>
      <c r="W149" s="117">
        <f>IF(OR(A149="",U149=0),"",MAX(U149-V149,0)/U149)</f>
        <v/>
      </c>
      <c r="X149" s="128" t="n"/>
      <c r="Y149" s="128" t="n"/>
      <c r="Z149" s="117">
        <f>IF(OR(A149="",X149=0),"",MAX(X149-Y149,0)/X149)</f>
        <v/>
      </c>
      <c r="AA149" s="128" t="n"/>
      <c r="AB149" s="128" t="n"/>
      <c r="AC149" s="117">
        <f>IF(OR(A149="",AA149=0),"",MAX(AA149-AB149,0)/AA149)</f>
        <v/>
      </c>
      <c r="AD149" s="128" t="n"/>
      <c r="AE149" s="128" t="n"/>
      <c r="AF149" s="117">
        <f>IF(OR(A149="",AD149=0),"",MAX(AD149-AE149,0)/AD149)</f>
        <v/>
      </c>
      <c r="AG149" s="54">
        <f>IF(A149="",0,(B149*40)+(C149*40))</f>
        <v/>
      </c>
      <c r="AH149" s="54">
        <f>IF(A149="",0,(B149*100)+(C149*0))</f>
        <v/>
      </c>
      <c r="AI149" s="54">
        <f>IF(A149="",0,(B149*10)+(C149*0))</f>
        <v/>
      </c>
      <c r="AJ149" s="54">
        <f>IF(A149="",0,(B149*50)+(C149*0))</f>
        <v/>
      </c>
      <c r="AK149" s="54">
        <f>IF(A149="",0,(B149*20)+(C149*0))</f>
        <v/>
      </c>
      <c r="AL149" s="54">
        <f>IF(A149="",0,(B149*60)+(C149*0))</f>
        <v/>
      </c>
      <c r="AM149" s="54">
        <f>IF(A149="",0,(B149*4)+(C149*4))</f>
        <v/>
      </c>
      <c r="AN149" s="54">
        <f>IF(A149="",0,(B149*4)+(C149*4))</f>
        <v/>
      </c>
      <c r="AO149" s="54">
        <f>IF(A149="",0,(B149*6)+(C149*0))</f>
        <v/>
      </c>
      <c r="AP149" s="54">
        <f>IF(A149="",0,(B149*4)+(C149*10))</f>
        <v/>
      </c>
      <c r="AQ149" s="54">
        <f>IF(A149="",0,(B149*65)+(C149*80))</f>
        <v/>
      </c>
      <c r="AR149" s="54">
        <f>IF(A149="",0,(B149*0)+(C149*5))</f>
        <v/>
      </c>
      <c r="AS149" s="54">
        <f>IF(A149="",0,(B149*0)+(C149*50))</f>
        <v/>
      </c>
      <c r="AT149" s="54">
        <f>IF(A149="",0,(G149*25.51+N149*30+S149*7.5)/1000)</f>
        <v/>
      </c>
      <c r="AU149" s="54">
        <f>IF(A149="",0,(H149*21.74+V149*7.5)/1000)</f>
        <v/>
      </c>
      <c r="AV149" s="54">
        <f>IF(A149="",0,(G149*0.71)/1000)</f>
        <v/>
      </c>
      <c r="AW149" s="54">
        <f>IF(A149="",0,(AB149*5)/1000)</f>
        <v/>
      </c>
      <c r="AX149" s="54">
        <f>IF(A149="",0,(Y149*7)/1000)</f>
        <v/>
      </c>
      <c r="AY149" s="54">
        <f>IF(A149="",0,(AE149*7)/1000)</f>
        <v/>
      </c>
      <c r="AZ149" s="54">
        <f>IF(A149="",0,ROUNDUP((H149+N149)/115,0)*1.5)</f>
        <v/>
      </c>
      <c r="BA149" s="54">
        <f>IF(A149="",0,ROUNDUP((H149+N149)/115,0)*20)</f>
        <v/>
      </c>
      <c r="BB149" s="54">
        <f>IF(A149="",0,ROUNDUP((H149+N149)/115,0)*80)</f>
        <v/>
      </c>
      <c r="BC149" s="54">
        <f>IF(A149="",0,ROUNDUP((H149+N149)/115,0)*5)</f>
        <v/>
      </c>
      <c r="BD149" s="54">
        <f>IF(A149="",0,ROUNDUP((H149+N149)/115,0)*2.5)</f>
        <v/>
      </c>
    </row>
    <row r="150">
      <c r="A150" s="127" t="n"/>
      <c r="B150" s="128" t="n"/>
      <c r="C150" s="128" t="n"/>
      <c r="D150" s="116">
        <f>IF(A150="","",B150*1508)</f>
        <v/>
      </c>
      <c r="E150" s="128" t="n"/>
      <c r="F150" s="128" t="n"/>
      <c r="G150" s="128" t="n"/>
      <c r="H150" s="128" t="n"/>
      <c r="I150" s="116">
        <f>IF(A150="","",MAX((E150/2)-G150,0))</f>
        <v/>
      </c>
      <c r="J150" s="117">
        <f>IF(OR(A150="",E150=0),"",I150/(E150/2))</f>
        <v/>
      </c>
      <c r="K150" s="116">
        <f>IF(A150="","",MAX((F150/2)-H150,0))</f>
        <v/>
      </c>
      <c r="L150" s="117">
        <f>IF(OR(A150="",F150=0),"",K150/(F150/2))</f>
        <v/>
      </c>
      <c r="M150" s="128" t="n"/>
      <c r="N150" s="128" t="n"/>
      <c r="O150" s="116">
        <f>IF(A150="","",MAX((M150/3)-N150,0))</f>
        <v/>
      </c>
      <c r="P150" s="117">
        <f>IF(OR(A150="",M150=0),"",O150/(M150/3))</f>
        <v/>
      </c>
      <c r="Q150" s="116">
        <f>IF(A150="","",C150*1508)</f>
        <v/>
      </c>
      <c r="R150" s="128" t="n"/>
      <c r="S150" s="128" t="n"/>
      <c r="T150" s="117">
        <f>IF(OR(A150="",R150=0),"",MAX(R150-S150,0)/R150)</f>
        <v/>
      </c>
      <c r="U150" s="128" t="n"/>
      <c r="V150" s="128" t="n"/>
      <c r="W150" s="117">
        <f>IF(OR(A150="",U150=0),"",MAX(U150-V150,0)/U150)</f>
        <v/>
      </c>
      <c r="X150" s="128" t="n"/>
      <c r="Y150" s="128" t="n"/>
      <c r="Z150" s="117">
        <f>IF(OR(A150="",X150=0),"",MAX(X150-Y150,0)/X150)</f>
        <v/>
      </c>
      <c r="AA150" s="128" t="n"/>
      <c r="AB150" s="128" t="n"/>
      <c r="AC150" s="117">
        <f>IF(OR(A150="",AA150=0),"",MAX(AA150-AB150,0)/AA150)</f>
        <v/>
      </c>
      <c r="AD150" s="128" t="n"/>
      <c r="AE150" s="128" t="n"/>
      <c r="AF150" s="117">
        <f>IF(OR(A150="",AD150=0),"",MAX(AD150-AE150,0)/AD150)</f>
        <v/>
      </c>
      <c r="AG150" s="54">
        <f>IF(A150="",0,(B150*40)+(C150*40))</f>
        <v/>
      </c>
      <c r="AH150" s="54">
        <f>IF(A150="",0,(B150*100)+(C150*0))</f>
        <v/>
      </c>
      <c r="AI150" s="54">
        <f>IF(A150="",0,(B150*10)+(C150*0))</f>
        <v/>
      </c>
      <c r="AJ150" s="54">
        <f>IF(A150="",0,(B150*50)+(C150*0))</f>
        <v/>
      </c>
      <c r="AK150" s="54">
        <f>IF(A150="",0,(B150*20)+(C150*0))</f>
        <v/>
      </c>
      <c r="AL150" s="54">
        <f>IF(A150="",0,(B150*60)+(C150*0))</f>
        <v/>
      </c>
      <c r="AM150" s="54">
        <f>IF(A150="",0,(B150*4)+(C150*4))</f>
        <v/>
      </c>
      <c r="AN150" s="54">
        <f>IF(A150="",0,(B150*4)+(C150*4))</f>
        <v/>
      </c>
      <c r="AO150" s="54">
        <f>IF(A150="",0,(B150*6)+(C150*0))</f>
        <v/>
      </c>
      <c r="AP150" s="54">
        <f>IF(A150="",0,(B150*4)+(C150*10))</f>
        <v/>
      </c>
      <c r="AQ150" s="54">
        <f>IF(A150="",0,(B150*65)+(C150*80))</f>
        <v/>
      </c>
      <c r="AR150" s="54">
        <f>IF(A150="",0,(B150*0)+(C150*5))</f>
        <v/>
      </c>
      <c r="AS150" s="54">
        <f>IF(A150="",0,(B150*0)+(C150*50))</f>
        <v/>
      </c>
      <c r="AT150" s="54">
        <f>IF(A150="",0,(G150*25.51+N150*30+S150*7.5)/1000)</f>
        <v/>
      </c>
      <c r="AU150" s="54">
        <f>IF(A150="",0,(H150*21.74+V150*7.5)/1000)</f>
        <v/>
      </c>
      <c r="AV150" s="54">
        <f>IF(A150="",0,(G150*0.71)/1000)</f>
        <v/>
      </c>
      <c r="AW150" s="54">
        <f>IF(A150="",0,(AB150*5)/1000)</f>
        <v/>
      </c>
      <c r="AX150" s="54">
        <f>IF(A150="",0,(Y150*7)/1000)</f>
        <v/>
      </c>
      <c r="AY150" s="54">
        <f>IF(A150="",0,(AE150*7)/1000)</f>
        <v/>
      </c>
      <c r="AZ150" s="54">
        <f>IF(A150="",0,ROUNDUP((H150+N150)/115,0)*1.5)</f>
        <v/>
      </c>
      <c r="BA150" s="54">
        <f>IF(A150="",0,ROUNDUP((H150+N150)/115,0)*20)</f>
        <v/>
      </c>
      <c r="BB150" s="54">
        <f>IF(A150="",0,ROUNDUP((H150+N150)/115,0)*80)</f>
        <v/>
      </c>
      <c r="BC150" s="54">
        <f>IF(A150="",0,ROUNDUP((H150+N150)/115,0)*5)</f>
        <v/>
      </c>
      <c r="BD150" s="54">
        <f>IF(A150="",0,ROUNDUP((H150+N150)/115,0)*2.5)</f>
        <v/>
      </c>
    </row>
    <row r="151">
      <c r="A151" s="127" t="n"/>
      <c r="B151" s="128" t="n"/>
      <c r="C151" s="128" t="n"/>
      <c r="D151" s="116">
        <f>IF(A151="","",B151*1508)</f>
        <v/>
      </c>
      <c r="E151" s="128" t="n"/>
      <c r="F151" s="128" t="n"/>
      <c r="G151" s="128" t="n"/>
      <c r="H151" s="128" t="n"/>
      <c r="I151" s="116">
        <f>IF(A151="","",MAX((E151/2)-G151,0))</f>
        <v/>
      </c>
      <c r="J151" s="117">
        <f>IF(OR(A151="",E151=0),"",I151/(E151/2))</f>
        <v/>
      </c>
      <c r="K151" s="116">
        <f>IF(A151="","",MAX((F151/2)-H151,0))</f>
        <v/>
      </c>
      <c r="L151" s="117">
        <f>IF(OR(A151="",F151=0),"",K151/(F151/2))</f>
        <v/>
      </c>
      <c r="M151" s="128" t="n"/>
      <c r="N151" s="128" t="n"/>
      <c r="O151" s="116">
        <f>IF(A151="","",MAX((M151/3)-N151,0))</f>
        <v/>
      </c>
      <c r="P151" s="117">
        <f>IF(OR(A151="",M151=0),"",O151/(M151/3))</f>
        <v/>
      </c>
      <c r="Q151" s="116">
        <f>IF(A151="","",C151*1508)</f>
        <v/>
      </c>
      <c r="R151" s="128" t="n"/>
      <c r="S151" s="128" t="n"/>
      <c r="T151" s="117">
        <f>IF(OR(A151="",R151=0),"",MAX(R151-S151,0)/R151)</f>
        <v/>
      </c>
      <c r="U151" s="128" t="n"/>
      <c r="V151" s="128" t="n"/>
      <c r="W151" s="117">
        <f>IF(OR(A151="",U151=0),"",MAX(U151-V151,0)/U151)</f>
        <v/>
      </c>
      <c r="X151" s="128" t="n"/>
      <c r="Y151" s="128" t="n"/>
      <c r="Z151" s="117">
        <f>IF(OR(A151="",X151=0),"",MAX(X151-Y151,0)/X151)</f>
        <v/>
      </c>
      <c r="AA151" s="128" t="n"/>
      <c r="AB151" s="128" t="n"/>
      <c r="AC151" s="117">
        <f>IF(OR(A151="",AA151=0),"",MAX(AA151-AB151,0)/AA151)</f>
        <v/>
      </c>
      <c r="AD151" s="128" t="n"/>
      <c r="AE151" s="128" t="n"/>
      <c r="AF151" s="117">
        <f>IF(OR(A151="",AD151=0),"",MAX(AD151-AE151,0)/AD151)</f>
        <v/>
      </c>
      <c r="AG151" s="54">
        <f>IF(A151="",0,(B151*40)+(C151*40))</f>
        <v/>
      </c>
      <c r="AH151" s="54">
        <f>IF(A151="",0,(B151*100)+(C151*0))</f>
        <v/>
      </c>
      <c r="AI151" s="54">
        <f>IF(A151="",0,(B151*10)+(C151*0))</f>
        <v/>
      </c>
      <c r="AJ151" s="54">
        <f>IF(A151="",0,(B151*50)+(C151*0))</f>
        <v/>
      </c>
      <c r="AK151" s="54">
        <f>IF(A151="",0,(B151*20)+(C151*0))</f>
        <v/>
      </c>
      <c r="AL151" s="54">
        <f>IF(A151="",0,(B151*60)+(C151*0))</f>
        <v/>
      </c>
      <c r="AM151" s="54">
        <f>IF(A151="",0,(B151*4)+(C151*4))</f>
        <v/>
      </c>
      <c r="AN151" s="54">
        <f>IF(A151="",0,(B151*4)+(C151*4))</f>
        <v/>
      </c>
      <c r="AO151" s="54">
        <f>IF(A151="",0,(B151*6)+(C151*0))</f>
        <v/>
      </c>
      <c r="AP151" s="54">
        <f>IF(A151="",0,(B151*4)+(C151*10))</f>
        <v/>
      </c>
      <c r="AQ151" s="54">
        <f>IF(A151="",0,(B151*65)+(C151*80))</f>
        <v/>
      </c>
      <c r="AR151" s="54">
        <f>IF(A151="",0,(B151*0)+(C151*5))</f>
        <v/>
      </c>
      <c r="AS151" s="54">
        <f>IF(A151="",0,(B151*0)+(C151*50))</f>
        <v/>
      </c>
      <c r="AT151" s="54">
        <f>IF(A151="",0,(G151*25.51+N151*30+S151*7.5)/1000)</f>
        <v/>
      </c>
      <c r="AU151" s="54">
        <f>IF(A151="",0,(H151*21.74+V151*7.5)/1000)</f>
        <v/>
      </c>
      <c r="AV151" s="54">
        <f>IF(A151="",0,(G151*0.71)/1000)</f>
        <v/>
      </c>
      <c r="AW151" s="54">
        <f>IF(A151="",0,(AB151*5)/1000)</f>
        <v/>
      </c>
      <c r="AX151" s="54">
        <f>IF(A151="",0,(Y151*7)/1000)</f>
        <v/>
      </c>
      <c r="AY151" s="54">
        <f>IF(A151="",0,(AE151*7)/1000)</f>
        <v/>
      </c>
      <c r="AZ151" s="54">
        <f>IF(A151="",0,ROUNDUP((H151+N151)/115,0)*1.5)</f>
        <v/>
      </c>
      <c r="BA151" s="54">
        <f>IF(A151="",0,ROUNDUP((H151+N151)/115,0)*20)</f>
        <v/>
      </c>
      <c r="BB151" s="54">
        <f>IF(A151="",0,ROUNDUP((H151+N151)/115,0)*80)</f>
        <v/>
      </c>
      <c r="BC151" s="54">
        <f>IF(A151="",0,ROUNDUP((H151+N151)/115,0)*5)</f>
        <v/>
      </c>
      <c r="BD151" s="54">
        <f>IF(A151="",0,ROUNDUP((H151+N151)/115,0)*2.5)</f>
        <v/>
      </c>
    </row>
    <row r="152">
      <c r="A152" s="127" t="n"/>
      <c r="B152" s="128" t="n"/>
      <c r="C152" s="128" t="n"/>
      <c r="D152" s="116">
        <f>IF(A152="","",B152*1508)</f>
        <v/>
      </c>
      <c r="E152" s="128" t="n"/>
      <c r="F152" s="128" t="n"/>
      <c r="G152" s="128" t="n"/>
      <c r="H152" s="128" t="n"/>
      <c r="I152" s="116">
        <f>IF(A152="","",MAX((E152/2)-G152,0))</f>
        <v/>
      </c>
      <c r="J152" s="117">
        <f>IF(OR(A152="",E152=0),"",I152/(E152/2))</f>
        <v/>
      </c>
      <c r="K152" s="116">
        <f>IF(A152="","",MAX((F152/2)-H152,0))</f>
        <v/>
      </c>
      <c r="L152" s="117">
        <f>IF(OR(A152="",F152=0),"",K152/(F152/2))</f>
        <v/>
      </c>
      <c r="M152" s="128" t="n"/>
      <c r="N152" s="128" t="n"/>
      <c r="O152" s="116">
        <f>IF(A152="","",MAX((M152/3)-N152,0))</f>
        <v/>
      </c>
      <c r="P152" s="117">
        <f>IF(OR(A152="",M152=0),"",O152/(M152/3))</f>
        <v/>
      </c>
      <c r="Q152" s="116">
        <f>IF(A152="","",C152*1508)</f>
        <v/>
      </c>
      <c r="R152" s="128" t="n"/>
      <c r="S152" s="128" t="n"/>
      <c r="T152" s="117">
        <f>IF(OR(A152="",R152=0),"",MAX(R152-S152,0)/R152)</f>
        <v/>
      </c>
      <c r="U152" s="128" t="n"/>
      <c r="V152" s="128" t="n"/>
      <c r="W152" s="117">
        <f>IF(OR(A152="",U152=0),"",MAX(U152-V152,0)/U152)</f>
        <v/>
      </c>
      <c r="X152" s="128" t="n"/>
      <c r="Y152" s="128" t="n"/>
      <c r="Z152" s="117">
        <f>IF(OR(A152="",X152=0),"",MAX(X152-Y152,0)/X152)</f>
        <v/>
      </c>
      <c r="AA152" s="128" t="n"/>
      <c r="AB152" s="128" t="n"/>
      <c r="AC152" s="117">
        <f>IF(OR(A152="",AA152=0),"",MAX(AA152-AB152,0)/AA152)</f>
        <v/>
      </c>
      <c r="AD152" s="128" t="n"/>
      <c r="AE152" s="128" t="n"/>
      <c r="AF152" s="117">
        <f>IF(OR(A152="",AD152=0),"",MAX(AD152-AE152,0)/AD152)</f>
        <v/>
      </c>
      <c r="AG152" s="54">
        <f>IF(A152="",0,(B152*40)+(C152*40))</f>
        <v/>
      </c>
      <c r="AH152" s="54">
        <f>IF(A152="",0,(B152*100)+(C152*0))</f>
        <v/>
      </c>
      <c r="AI152" s="54">
        <f>IF(A152="",0,(B152*10)+(C152*0))</f>
        <v/>
      </c>
      <c r="AJ152" s="54">
        <f>IF(A152="",0,(B152*50)+(C152*0))</f>
        <v/>
      </c>
      <c r="AK152" s="54">
        <f>IF(A152="",0,(B152*20)+(C152*0))</f>
        <v/>
      </c>
      <c r="AL152" s="54">
        <f>IF(A152="",0,(B152*60)+(C152*0))</f>
        <v/>
      </c>
      <c r="AM152" s="54">
        <f>IF(A152="",0,(B152*4)+(C152*4))</f>
        <v/>
      </c>
      <c r="AN152" s="54">
        <f>IF(A152="",0,(B152*4)+(C152*4))</f>
        <v/>
      </c>
      <c r="AO152" s="54">
        <f>IF(A152="",0,(B152*6)+(C152*0))</f>
        <v/>
      </c>
      <c r="AP152" s="54">
        <f>IF(A152="",0,(B152*4)+(C152*10))</f>
        <v/>
      </c>
      <c r="AQ152" s="54">
        <f>IF(A152="",0,(B152*65)+(C152*80))</f>
        <v/>
      </c>
      <c r="AR152" s="54">
        <f>IF(A152="",0,(B152*0)+(C152*5))</f>
        <v/>
      </c>
      <c r="AS152" s="54">
        <f>IF(A152="",0,(B152*0)+(C152*50))</f>
        <v/>
      </c>
      <c r="AT152" s="54">
        <f>IF(A152="",0,(G152*25.51+N152*30+S152*7.5)/1000)</f>
        <v/>
      </c>
      <c r="AU152" s="54">
        <f>IF(A152="",0,(H152*21.74+V152*7.5)/1000)</f>
        <v/>
      </c>
      <c r="AV152" s="54">
        <f>IF(A152="",0,(G152*0.71)/1000)</f>
        <v/>
      </c>
      <c r="AW152" s="54">
        <f>IF(A152="",0,(AB152*5)/1000)</f>
        <v/>
      </c>
      <c r="AX152" s="54">
        <f>IF(A152="",0,(Y152*7)/1000)</f>
        <v/>
      </c>
      <c r="AY152" s="54">
        <f>IF(A152="",0,(AE152*7)/1000)</f>
        <v/>
      </c>
      <c r="AZ152" s="54">
        <f>IF(A152="",0,ROUNDUP((H152+N152)/115,0)*1.5)</f>
        <v/>
      </c>
      <c r="BA152" s="54">
        <f>IF(A152="",0,ROUNDUP((H152+N152)/115,0)*20)</f>
        <v/>
      </c>
      <c r="BB152" s="54">
        <f>IF(A152="",0,ROUNDUP((H152+N152)/115,0)*80)</f>
        <v/>
      </c>
      <c r="BC152" s="54">
        <f>IF(A152="",0,ROUNDUP((H152+N152)/115,0)*5)</f>
        <v/>
      </c>
      <c r="BD152" s="54">
        <f>IF(A152="",0,ROUNDUP((H152+N152)/115,0)*2.5)</f>
        <v/>
      </c>
    </row>
    <row r="153">
      <c r="A153" s="127" t="n"/>
      <c r="B153" s="128" t="n"/>
      <c r="C153" s="128" t="n"/>
      <c r="D153" s="116">
        <f>IF(A153="","",B153*1508)</f>
        <v/>
      </c>
      <c r="E153" s="128" t="n"/>
      <c r="F153" s="128" t="n"/>
      <c r="G153" s="128" t="n"/>
      <c r="H153" s="128" t="n"/>
      <c r="I153" s="116">
        <f>IF(A153="","",MAX((E153/2)-G153,0))</f>
        <v/>
      </c>
      <c r="J153" s="117">
        <f>IF(OR(A153="",E153=0),"",I153/(E153/2))</f>
        <v/>
      </c>
      <c r="K153" s="116">
        <f>IF(A153="","",MAX((F153/2)-H153,0))</f>
        <v/>
      </c>
      <c r="L153" s="117">
        <f>IF(OR(A153="",F153=0),"",K153/(F153/2))</f>
        <v/>
      </c>
      <c r="M153" s="128" t="n"/>
      <c r="N153" s="128" t="n"/>
      <c r="O153" s="116">
        <f>IF(A153="","",MAX((M153/3)-N153,0))</f>
        <v/>
      </c>
      <c r="P153" s="117">
        <f>IF(OR(A153="",M153=0),"",O153/(M153/3))</f>
        <v/>
      </c>
      <c r="Q153" s="116">
        <f>IF(A153="","",C153*1508)</f>
        <v/>
      </c>
      <c r="R153" s="128" t="n"/>
      <c r="S153" s="128" t="n"/>
      <c r="T153" s="117">
        <f>IF(OR(A153="",R153=0),"",MAX(R153-S153,0)/R153)</f>
        <v/>
      </c>
      <c r="U153" s="128" t="n"/>
      <c r="V153" s="128" t="n"/>
      <c r="W153" s="117">
        <f>IF(OR(A153="",U153=0),"",MAX(U153-V153,0)/U153)</f>
        <v/>
      </c>
      <c r="X153" s="128" t="n"/>
      <c r="Y153" s="128" t="n"/>
      <c r="Z153" s="117">
        <f>IF(OR(A153="",X153=0),"",MAX(X153-Y153,0)/X153)</f>
        <v/>
      </c>
      <c r="AA153" s="128" t="n"/>
      <c r="AB153" s="128" t="n"/>
      <c r="AC153" s="117">
        <f>IF(OR(A153="",AA153=0),"",MAX(AA153-AB153,0)/AA153)</f>
        <v/>
      </c>
      <c r="AD153" s="128" t="n"/>
      <c r="AE153" s="128" t="n"/>
      <c r="AF153" s="117">
        <f>IF(OR(A153="",AD153=0),"",MAX(AD153-AE153,0)/AD153)</f>
        <v/>
      </c>
      <c r="AG153" s="54">
        <f>IF(A153="",0,(B153*40)+(C153*40))</f>
        <v/>
      </c>
      <c r="AH153" s="54">
        <f>IF(A153="",0,(B153*100)+(C153*0))</f>
        <v/>
      </c>
      <c r="AI153" s="54">
        <f>IF(A153="",0,(B153*10)+(C153*0))</f>
        <v/>
      </c>
      <c r="AJ153" s="54">
        <f>IF(A153="",0,(B153*50)+(C153*0))</f>
        <v/>
      </c>
      <c r="AK153" s="54">
        <f>IF(A153="",0,(B153*20)+(C153*0))</f>
        <v/>
      </c>
      <c r="AL153" s="54">
        <f>IF(A153="",0,(B153*60)+(C153*0))</f>
        <v/>
      </c>
      <c r="AM153" s="54">
        <f>IF(A153="",0,(B153*4)+(C153*4))</f>
        <v/>
      </c>
      <c r="AN153" s="54">
        <f>IF(A153="",0,(B153*4)+(C153*4))</f>
        <v/>
      </c>
      <c r="AO153" s="54">
        <f>IF(A153="",0,(B153*6)+(C153*0))</f>
        <v/>
      </c>
      <c r="AP153" s="54">
        <f>IF(A153="",0,(B153*4)+(C153*10))</f>
        <v/>
      </c>
      <c r="AQ153" s="54">
        <f>IF(A153="",0,(B153*65)+(C153*80))</f>
        <v/>
      </c>
      <c r="AR153" s="54">
        <f>IF(A153="",0,(B153*0)+(C153*5))</f>
        <v/>
      </c>
      <c r="AS153" s="54">
        <f>IF(A153="",0,(B153*0)+(C153*50))</f>
        <v/>
      </c>
      <c r="AT153" s="54">
        <f>IF(A153="",0,(G153*25.51+N153*30+S153*7.5)/1000)</f>
        <v/>
      </c>
      <c r="AU153" s="54">
        <f>IF(A153="",0,(H153*21.74+V153*7.5)/1000)</f>
        <v/>
      </c>
      <c r="AV153" s="54">
        <f>IF(A153="",0,(G153*0.71)/1000)</f>
        <v/>
      </c>
      <c r="AW153" s="54">
        <f>IF(A153="",0,(AB153*5)/1000)</f>
        <v/>
      </c>
      <c r="AX153" s="54">
        <f>IF(A153="",0,(Y153*7)/1000)</f>
        <v/>
      </c>
      <c r="AY153" s="54">
        <f>IF(A153="",0,(AE153*7)/1000)</f>
        <v/>
      </c>
      <c r="AZ153" s="54">
        <f>IF(A153="",0,ROUNDUP((H153+N153)/115,0)*1.5)</f>
        <v/>
      </c>
      <c r="BA153" s="54">
        <f>IF(A153="",0,ROUNDUP((H153+N153)/115,0)*20)</f>
        <v/>
      </c>
      <c r="BB153" s="54">
        <f>IF(A153="",0,ROUNDUP((H153+N153)/115,0)*80)</f>
        <v/>
      </c>
      <c r="BC153" s="54">
        <f>IF(A153="",0,ROUNDUP((H153+N153)/115,0)*5)</f>
        <v/>
      </c>
      <c r="BD153" s="54">
        <f>IF(A153="",0,ROUNDUP((H153+N153)/115,0)*2.5)</f>
        <v/>
      </c>
    </row>
    <row r="154">
      <c r="A154" s="127" t="n"/>
      <c r="B154" s="128" t="n"/>
      <c r="C154" s="128" t="n"/>
      <c r="D154" s="116">
        <f>IF(A154="","",B154*1508)</f>
        <v/>
      </c>
      <c r="E154" s="128" t="n"/>
      <c r="F154" s="128" t="n"/>
      <c r="G154" s="128" t="n"/>
      <c r="H154" s="128" t="n"/>
      <c r="I154" s="116">
        <f>IF(A154="","",MAX((E154/2)-G154,0))</f>
        <v/>
      </c>
      <c r="J154" s="117">
        <f>IF(OR(A154="",E154=0),"",I154/(E154/2))</f>
        <v/>
      </c>
      <c r="K154" s="116">
        <f>IF(A154="","",MAX((F154/2)-H154,0))</f>
        <v/>
      </c>
      <c r="L154" s="117">
        <f>IF(OR(A154="",F154=0),"",K154/(F154/2))</f>
        <v/>
      </c>
      <c r="M154" s="128" t="n"/>
      <c r="N154" s="128" t="n"/>
      <c r="O154" s="116">
        <f>IF(A154="","",MAX((M154/3)-N154,0))</f>
        <v/>
      </c>
      <c r="P154" s="117">
        <f>IF(OR(A154="",M154=0),"",O154/(M154/3))</f>
        <v/>
      </c>
      <c r="Q154" s="116">
        <f>IF(A154="","",C154*1508)</f>
        <v/>
      </c>
      <c r="R154" s="128" t="n"/>
      <c r="S154" s="128" t="n"/>
      <c r="T154" s="117">
        <f>IF(OR(A154="",R154=0),"",MAX(R154-S154,0)/R154)</f>
        <v/>
      </c>
      <c r="U154" s="128" t="n"/>
      <c r="V154" s="128" t="n"/>
      <c r="W154" s="117">
        <f>IF(OR(A154="",U154=0),"",MAX(U154-V154,0)/U154)</f>
        <v/>
      </c>
      <c r="X154" s="128" t="n"/>
      <c r="Y154" s="128" t="n"/>
      <c r="Z154" s="117">
        <f>IF(OR(A154="",X154=0),"",MAX(X154-Y154,0)/X154)</f>
        <v/>
      </c>
      <c r="AA154" s="128" t="n"/>
      <c r="AB154" s="128" t="n"/>
      <c r="AC154" s="117">
        <f>IF(OR(A154="",AA154=0),"",MAX(AA154-AB154,0)/AA154)</f>
        <v/>
      </c>
      <c r="AD154" s="128" t="n"/>
      <c r="AE154" s="128" t="n"/>
      <c r="AF154" s="117">
        <f>IF(OR(A154="",AD154=0),"",MAX(AD154-AE154,0)/AD154)</f>
        <v/>
      </c>
      <c r="AG154" s="54">
        <f>IF(A154="",0,(B154*40)+(C154*40))</f>
        <v/>
      </c>
      <c r="AH154" s="54">
        <f>IF(A154="",0,(B154*100)+(C154*0))</f>
        <v/>
      </c>
      <c r="AI154" s="54">
        <f>IF(A154="",0,(B154*10)+(C154*0))</f>
        <v/>
      </c>
      <c r="AJ154" s="54">
        <f>IF(A154="",0,(B154*50)+(C154*0))</f>
        <v/>
      </c>
      <c r="AK154" s="54">
        <f>IF(A154="",0,(B154*20)+(C154*0))</f>
        <v/>
      </c>
      <c r="AL154" s="54">
        <f>IF(A154="",0,(B154*60)+(C154*0))</f>
        <v/>
      </c>
      <c r="AM154" s="54">
        <f>IF(A154="",0,(B154*4)+(C154*4))</f>
        <v/>
      </c>
      <c r="AN154" s="54">
        <f>IF(A154="",0,(B154*4)+(C154*4))</f>
        <v/>
      </c>
      <c r="AO154" s="54">
        <f>IF(A154="",0,(B154*6)+(C154*0))</f>
        <v/>
      </c>
      <c r="AP154" s="54">
        <f>IF(A154="",0,(B154*4)+(C154*10))</f>
        <v/>
      </c>
      <c r="AQ154" s="54">
        <f>IF(A154="",0,(B154*65)+(C154*80))</f>
        <v/>
      </c>
      <c r="AR154" s="54">
        <f>IF(A154="",0,(B154*0)+(C154*5))</f>
        <v/>
      </c>
      <c r="AS154" s="54">
        <f>IF(A154="",0,(B154*0)+(C154*50))</f>
        <v/>
      </c>
      <c r="AT154" s="54">
        <f>IF(A154="",0,(G154*25.51+N154*30+S154*7.5)/1000)</f>
        <v/>
      </c>
      <c r="AU154" s="54">
        <f>IF(A154="",0,(H154*21.74+V154*7.5)/1000)</f>
        <v/>
      </c>
      <c r="AV154" s="54">
        <f>IF(A154="",0,(G154*0.71)/1000)</f>
        <v/>
      </c>
      <c r="AW154" s="54">
        <f>IF(A154="",0,(AB154*5)/1000)</f>
        <v/>
      </c>
      <c r="AX154" s="54">
        <f>IF(A154="",0,(Y154*7)/1000)</f>
        <v/>
      </c>
      <c r="AY154" s="54">
        <f>IF(A154="",0,(AE154*7)/1000)</f>
        <v/>
      </c>
      <c r="AZ154" s="54">
        <f>IF(A154="",0,ROUNDUP((H154+N154)/115,0)*1.5)</f>
        <v/>
      </c>
      <c r="BA154" s="54">
        <f>IF(A154="",0,ROUNDUP((H154+N154)/115,0)*20)</f>
        <v/>
      </c>
      <c r="BB154" s="54">
        <f>IF(A154="",0,ROUNDUP((H154+N154)/115,0)*80)</f>
        <v/>
      </c>
      <c r="BC154" s="54">
        <f>IF(A154="",0,ROUNDUP((H154+N154)/115,0)*5)</f>
        <v/>
      </c>
      <c r="BD154" s="54">
        <f>IF(A154="",0,ROUNDUP((H154+N154)/115,0)*2.5)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FD3"/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0" customWidth="1" style="55" min="1" max="1"/>
    <col width="9" customWidth="1" style="55" min="2" max="2"/>
    <col width="12" customWidth="1" style="55" min="3" max="3"/>
    <col width="14" customWidth="1" style="55" min="4" max="4"/>
    <col width="15" customWidth="1" style="55" min="5" max="5"/>
    <col width="13" customWidth="1" style="55" min="6" max="6"/>
    <col width="16" customWidth="1" style="55" min="7" max="7"/>
  </cols>
  <sheetData>
    <row r="1" ht="24" customHeight="1" s="55">
      <c r="A1" s="111" t="inlineStr">
        <is>
          <t>STOCK — Inventario real de insumos</t>
        </is>
      </c>
    </row>
    <row r="2" ht="18" customHeight="1" s="55">
      <c r="A2" s="112" t="inlineStr">
        <is>
          <t>Stock inicial (lo cargás una vez) + Recepciones de Compra − Consumo real de Producción Real = Stock actual.</t>
        </is>
      </c>
    </row>
    <row r="4" ht="28" customHeight="1" s="55">
      <c r="A4" s="120" t="inlineStr">
        <is>
          <t>Insumo</t>
        </is>
      </c>
      <c r="B4" s="120" t="inlineStr">
        <is>
          <t>Unidad</t>
        </is>
      </c>
      <c r="C4" s="120" t="inlineStr">
        <is>
          <t>Stock inicial</t>
        </is>
      </c>
      <c r="D4" s="120" t="inlineStr">
        <is>
          <t>Recibido (acum.)</t>
        </is>
      </c>
      <c r="E4" s="120" t="inlineStr">
        <is>
          <t>Consumido (acum.)</t>
        </is>
      </c>
      <c r="F4" s="120" t="inlineStr">
        <is>
          <t>STOCK ACTUAL</t>
        </is>
      </c>
      <c r="G4" s="120" t="inlineStr">
        <is>
          <t>Última actualización</t>
        </is>
      </c>
    </row>
    <row r="5">
      <c r="A5" s="109" t="inlineStr">
        <is>
          <t>Huevo</t>
        </is>
      </c>
      <c r="B5" s="116" t="inlineStr">
        <is>
          <t>u</t>
        </is>
      </c>
      <c r="C5" s="128" t="n">
        <v>0</v>
      </c>
      <c r="D5" s="116">
        <f>SUMIF('Orden de Compra'!$B$43:$B$242,A5,'Orden de Compra'!$C$43:$C$242)</f>
        <v/>
      </c>
      <c r="E5" s="116">
        <f>SUM('Produccion-Real'!$AG$5:$AG$154)</f>
        <v/>
      </c>
      <c r="F5" s="122">
        <f>C5+D5-E5</f>
        <v/>
      </c>
      <c r="G5" s="123">
        <f>TODAY()</f>
        <v/>
      </c>
    </row>
    <row r="6">
      <c r="A6" s="109" t="inlineStr">
        <is>
          <t>Vainilla</t>
        </is>
      </c>
      <c r="B6" s="116" t="inlineStr">
        <is>
          <t>ml</t>
        </is>
      </c>
      <c r="C6" s="128" t="n">
        <v>0</v>
      </c>
      <c r="D6" s="116">
        <f>SUMIF('Orden de Compra'!$B$43:$B$242,A6,'Orden de Compra'!$C$43:$C$242)</f>
        <v/>
      </c>
      <c r="E6" s="116">
        <f>SUM('Produccion-Real'!$AH$5:$AH$154)</f>
        <v/>
      </c>
      <c r="F6" s="122">
        <f>C6+D6-E6</f>
        <v/>
      </c>
      <c r="G6" s="123">
        <f>TODAY()</f>
        <v/>
      </c>
    </row>
    <row r="7">
      <c r="A7" s="109" t="inlineStr">
        <is>
          <t>Colorante amarillo</t>
        </is>
      </c>
      <c r="B7" s="116" t="inlineStr">
        <is>
          <t>cm³</t>
        </is>
      </c>
      <c r="C7" s="128" t="n">
        <v>0</v>
      </c>
      <c r="D7" s="116">
        <f>SUMIF('Orden de Compra'!$B$43:$B$242,A7,'Orden de Compra'!$C$43:$C$242)</f>
        <v/>
      </c>
      <c r="E7" s="116">
        <f>SUM('Produccion-Real'!$AI$5:$AI$154)</f>
        <v/>
      </c>
      <c r="F7" s="122">
        <f>C7+D7-E7</f>
        <v/>
      </c>
      <c r="G7" s="123">
        <f>TODAY()</f>
        <v/>
      </c>
    </row>
    <row r="8">
      <c r="A8" s="109" t="inlineStr">
        <is>
          <t>Miel</t>
        </is>
      </c>
      <c r="B8" s="116" t="inlineStr">
        <is>
          <t>cm³</t>
        </is>
      </c>
      <c r="C8" s="128" t="n">
        <v>0</v>
      </c>
      <c r="D8" s="116">
        <f>SUMIF('Orden de Compra'!$B$43:$B$242,A8,'Orden de Compra'!$C$43:$C$242)</f>
        <v/>
      </c>
      <c r="E8" s="116">
        <f>SUM('Produccion-Real'!$AJ$5:$AJ$154)</f>
        <v/>
      </c>
      <c r="F8" s="122">
        <f>C8+D8-E8</f>
        <v/>
      </c>
      <c r="G8" s="123">
        <f>TODAY()</f>
        <v/>
      </c>
    </row>
    <row r="9">
      <c r="A9" s="109" t="inlineStr">
        <is>
          <t>Sorbato de potasio</t>
        </is>
      </c>
      <c r="B9" s="116" t="inlineStr">
        <is>
          <t>g</t>
        </is>
      </c>
      <c r="C9" s="128" t="n">
        <v>0</v>
      </c>
      <c r="D9" s="116">
        <f>SUMIF('Orden de Compra'!$B$43:$B$242,A9,'Orden de Compra'!$C$43:$C$242)</f>
        <v/>
      </c>
      <c r="E9" s="116">
        <f>SUM('Produccion-Real'!$AK$5:$AK$154)</f>
        <v/>
      </c>
      <c r="F9" s="122">
        <f>C9+D9-E9</f>
        <v/>
      </c>
      <c r="G9" s="123">
        <f>TODAY()</f>
        <v/>
      </c>
    </row>
    <row r="10">
      <c r="A10" s="109" t="inlineStr">
        <is>
          <t>Propionato de calcio</t>
        </is>
      </c>
      <c r="B10" s="116" t="inlineStr">
        <is>
          <t>g</t>
        </is>
      </c>
      <c r="C10" s="128" t="n">
        <v>0</v>
      </c>
      <c r="D10" s="116">
        <f>SUMIF('Orden de Compra'!$B$43:$B$242,A10,'Orden de Compra'!$C$43:$C$242)</f>
        <v/>
      </c>
      <c r="E10" s="116">
        <f>SUM('Produccion-Real'!$AL$5:$AL$154)</f>
        <v/>
      </c>
      <c r="F10" s="122">
        <f>C10+D10-E10</f>
        <v/>
      </c>
      <c r="G10" s="123">
        <f>TODAY()</f>
        <v/>
      </c>
    </row>
    <row r="11">
      <c r="A11" s="109" t="inlineStr">
        <is>
          <t>Azúcar</t>
        </is>
      </c>
      <c r="B11" s="116" t="inlineStr">
        <is>
          <t>kg</t>
        </is>
      </c>
      <c r="C11" s="128" t="n">
        <v>0</v>
      </c>
      <c r="D11" s="116">
        <f>SUMIF('Orden de Compra'!$B$43:$B$242,A11,'Orden de Compra'!$C$43:$C$242)</f>
        <v/>
      </c>
      <c r="E11" s="116">
        <f>SUM('Produccion-Real'!$AM$5:$AM$154)</f>
        <v/>
      </c>
      <c r="F11" s="122">
        <f>C11+D11-E11</f>
        <v/>
      </c>
      <c r="G11" s="123">
        <f>TODAY()</f>
        <v/>
      </c>
    </row>
    <row r="12">
      <c r="A12" s="109" t="inlineStr">
        <is>
          <t>Margarina</t>
        </is>
      </c>
      <c r="B12" s="116" t="inlineStr">
        <is>
          <t>kg</t>
        </is>
      </c>
      <c r="C12" s="128" t="n">
        <v>0</v>
      </c>
      <c r="D12" s="116">
        <f>SUMIF('Orden de Compra'!$B$43:$B$242,A12,'Orden de Compra'!$C$43:$C$242)</f>
        <v/>
      </c>
      <c r="E12" s="116">
        <f>SUM('Produccion-Real'!$AN$5:$AN$154)</f>
        <v/>
      </c>
      <c r="F12" s="122">
        <f>C12+D12-E12</f>
        <v/>
      </c>
      <c r="G12" s="123">
        <f>TODAY()</f>
        <v/>
      </c>
    </row>
    <row r="13">
      <c r="A13" s="109" t="inlineStr">
        <is>
          <t>Maicena (Femag)</t>
        </is>
      </c>
      <c r="B13" s="116" t="inlineStr">
        <is>
          <t>kg</t>
        </is>
      </c>
      <c r="C13" s="128" t="n">
        <v>0</v>
      </c>
      <c r="D13" s="116">
        <f>SUMIF('Orden de Compra'!$B$43:$B$242,A13,'Orden de Compra'!$C$43:$C$242)</f>
        <v/>
      </c>
      <c r="E13" s="116">
        <f>SUM('Produccion-Real'!$AO$5:$AO$154)</f>
        <v/>
      </c>
      <c r="F13" s="122">
        <f>C13+D13-E13</f>
        <v/>
      </c>
      <c r="G13" s="123">
        <f>TODAY()</f>
        <v/>
      </c>
    </row>
    <row r="14">
      <c r="A14" s="109" t="inlineStr">
        <is>
          <t>Harina 000</t>
        </is>
      </c>
      <c r="B14" s="116" t="inlineStr">
        <is>
          <t>kg</t>
        </is>
      </c>
      <c r="C14" s="128" t="n">
        <v>0</v>
      </c>
      <c r="D14" s="116">
        <f>SUMIF('Orden de Compra'!$B$43:$B$242,A14,'Orden de Compra'!$C$43:$C$242)</f>
        <v/>
      </c>
      <c r="E14" s="116">
        <f>SUM('Produccion-Real'!$AP$5:$AP$154)</f>
        <v/>
      </c>
      <c r="F14" s="122">
        <f>C14+D14-E14</f>
        <v/>
      </c>
      <c r="G14" s="123">
        <f>TODAY()</f>
        <v/>
      </c>
    </row>
    <row r="15">
      <c r="A15" s="109" t="inlineStr">
        <is>
          <t>Polvo de hornear</t>
        </is>
      </c>
      <c r="B15" s="116" t="inlineStr">
        <is>
          <t>g</t>
        </is>
      </c>
      <c r="C15" s="128" t="n">
        <v>0</v>
      </c>
      <c r="D15" s="116">
        <f>SUMIF('Orden de Compra'!$B$43:$B$242,A15,'Orden de Compra'!$C$43:$C$242)</f>
        <v/>
      </c>
      <c r="E15" s="116">
        <f>SUM('Produccion-Real'!$AQ$5:$AQ$154)</f>
        <v/>
      </c>
      <c r="F15" s="122">
        <f>C15+D15-E15</f>
        <v/>
      </c>
      <c r="G15" s="123">
        <f>TODAY()</f>
        <v/>
      </c>
    </row>
    <row r="16">
      <c r="A16" s="109" t="inlineStr">
        <is>
          <t>Bicarbonato de sodio</t>
        </is>
      </c>
      <c r="B16" s="116" t="inlineStr">
        <is>
          <t>g</t>
        </is>
      </c>
      <c r="C16" s="128" t="n">
        <v>0</v>
      </c>
      <c r="D16" s="116">
        <f>SUMIF('Orden de Compra'!$B$43:$B$242,A16,'Orden de Compra'!$C$43:$C$242)</f>
        <v/>
      </c>
      <c r="E16" s="116">
        <f>SUM('Produccion-Real'!$AR$5:$AR$154)</f>
        <v/>
      </c>
      <c r="F16" s="122">
        <f>C16+D16-E16</f>
        <v/>
      </c>
      <c r="G16" s="123">
        <f>TODAY()</f>
        <v/>
      </c>
    </row>
    <row r="17">
      <c r="A17" s="109" t="inlineStr">
        <is>
          <t>Esencia de manteca</t>
        </is>
      </c>
      <c r="B17" s="116" t="inlineStr">
        <is>
          <t>ml</t>
        </is>
      </c>
      <c r="C17" s="128" t="n">
        <v>0</v>
      </c>
      <c r="D17" s="116">
        <f>SUMIF('Orden de Compra'!$B$43:$B$242,A17,'Orden de Compra'!$C$43:$C$242)</f>
        <v/>
      </c>
      <c r="E17" s="116">
        <f>SUM('Produccion-Real'!$AS$5:$AS$154)</f>
        <v/>
      </c>
      <c r="F17" s="122">
        <f>C17+D17-E17</f>
        <v/>
      </c>
      <c r="G17" s="123">
        <f>TODAY()</f>
        <v/>
      </c>
    </row>
    <row r="18">
      <c r="A18" s="109" t="inlineStr">
        <is>
          <t>Dulce de leche (La Colonias)</t>
        </is>
      </c>
      <c r="B18" s="116" t="inlineStr">
        <is>
          <t>kg</t>
        </is>
      </c>
      <c r="C18" s="128" t="n">
        <v>0</v>
      </c>
      <c r="D18" s="116">
        <f>SUMIF('Orden de Compra'!$B$43:$B$242,A18,'Orden de Compra'!$C$43:$C$242)</f>
        <v/>
      </c>
      <c r="E18" s="116">
        <f>SUM('Produccion-Real'!$AT$5:$AT$154)</f>
        <v/>
      </c>
      <c r="F18" s="122">
        <f>C18+D18-E18</f>
        <v/>
      </c>
      <c r="G18" s="123">
        <f>TODAY()</f>
        <v/>
      </c>
    </row>
    <row r="19">
      <c r="A19" s="109" t="inlineStr">
        <is>
          <t>Membrillo</t>
        </is>
      </c>
      <c r="B19" s="116" t="inlineStr">
        <is>
          <t>kg</t>
        </is>
      </c>
      <c r="C19" s="128" t="n">
        <v>0</v>
      </c>
      <c r="D19" s="116">
        <f>SUMIF('Orden de Compra'!$B$43:$B$242,A19,'Orden de Compra'!$C$43:$C$242)</f>
        <v/>
      </c>
      <c r="E19" s="116">
        <f>SUM('Produccion-Real'!$AU$5:$AU$154)</f>
        <v/>
      </c>
      <c r="F19" s="122">
        <f>C19+D19-E19</f>
        <v/>
      </c>
      <c r="G19" s="123">
        <f>TODAY()</f>
        <v/>
      </c>
    </row>
    <row r="20">
      <c r="A20" s="109" t="inlineStr">
        <is>
          <t>Coco rallado</t>
        </is>
      </c>
      <c r="B20" s="116" t="inlineStr">
        <is>
          <t>kg</t>
        </is>
      </c>
      <c r="C20" s="128" t="n">
        <v>0</v>
      </c>
      <c r="D20" s="116">
        <f>SUMIF('Orden de Compra'!$B$43:$B$242,A20,'Orden de Compra'!$C$43:$C$242)</f>
        <v/>
      </c>
      <c r="E20" s="116">
        <f>SUM('Produccion-Real'!$AV$5:$AV$154)</f>
        <v/>
      </c>
      <c r="F20" s="122">
        <f>C20+D20-E20</f>
        <v/>
      </c>
      <c r="G20" s="123">
        <f>TODAY()</f>
        <v/>
      </c>
    </row>
    <row r="21">
      <c r="A21" s="109" t="inlineStr">
        <is>
          <t>Dulce de batata</t>
        </is>
      </c>
      <c r="B21" s="116" t="inlineStr">
        <is>
          <t>kg</t>
        </is>
      </c>
      <c r="C21" s="128" t="n">
        <v>0</v>
      </c>
      <c r="D21" s="116">
        <f>SUMIF('Orden de Compra'!$B$43:$B$242,A21,'Orden de Compra'!$C$43:$C$242)</f>
        <v/>
      </c>
      <c r="E21" s="116">
        <f>SUM('Produccion-Real'!$AW$5:$AW$154)</f>
        <v/>
      </c>
      <c r="F21" s="122">
        <f>C21+D21-E21</f>
        <v/>
      </c>
      <c r="G21" s="123">
        <f>TODAY()</f>
        <v/>
      </c>
    </row>
    <row r="22">
      <c r="A22" s="109" t="inlineStr">
        <is>
          <t>Mermelada de arándano</t>
        </is>
      </c>
      <c r="B22" s="116" t="inlineStr">
        <is>
          <t>kg</t>
        </is>
      </c>
      <c r="C22" s="128" t="n">
        <v>0</v>
      </c>
      <c r="D22" s="116">
        <f>SUMIF('Orden de Compra'!$B$43:$B$242,A22,'Orden de Compra'!$C$43:$C$242)</f>
        <v/>
      </c>
      <c r="E22" s="116">
        <f>SUM('Produccion-Real'!$AX$5:$AX$154)</f>
        <v/>
      </c>
      <c r="F22" s="122">
        <f>C22+D22-E22</f>
        <v/>
      </c>
      <c r="G22" s="123">
        <f>TODAY()</f>
        <v/>
      </c>
    </row>
    <row r="23">
      <c r="A23" s="109" t="inlineStr">
        <is>
          <t>Frutos del bosque</t>
        </is>
      </c>
      <c r="B23" s="116" t="inlineStr">
        <is>
          <t>kg</t>
        </is>
      </c>
      <c r="C23" s="128" t="n">
        <v>0</v>
      </c>
      <c r="D23" s="116">
        <f>SUMIF('Orden de Compra'!$B$43:$B$242,A23,'Orden de Compra'!$C$43:$C$242)</f>
        <v/>
      </c>
      <c r="E23" s="116">
        <f>SUM('Produccion-Real'!$AY$5:$AY$154)</f>
        <v/>
      </c>
      <c r="F23" s="122">
        <f>C23+D23-E23</f>
        <v/>
      </c>
      <c r="G23" s="123">
        <f>TODAY()</f>
        <v/>
      </c>
    </row>
    <row r="24">
      <c r="A24" s="109" t="inlineStr">
        <is>
          <t>Azúcar impalpable</t>
        </is>
      </c>
      <c r="B24" s="116" t="inlineStr">
        <is>
          <t>kg</t>
        </is>
      </c>
      <c r="C24" s="128" t="n">
        <v>0</v>
      </c>
      <c r="D24" s="116">
        <f>SUMIF('Orden de Compra'!$B$43:$B$242,A24,'Orden de Compra'!$C$43:$C$242)</f>
        <v/>
      </c>
      <c r="E24" s="116">
        <f>SUM('Produccion-Real'!$AZ$5:$AZ$154)</f>
        <v/>
      </c>
      <c r="F24" s="122">
        <f>C24+D24-E24</f>
        <v/>
      </c>
      <c r="G24" s="123">
        <f>TODAY()</f>
        <v/>
      </c>
    </row>
    <row r="25">
      <c r="A25" s="109" t="inlineStr">
        <is>
          <t>Albúmina</t>
        </is>
      </c>
      <c r="B25" s="116" t="inlineStr">
        <is>
          <t>g</t>
        </is>
      </c>
      <c r="C25" s="128" t="n">
        <v>0</v>
      </c>
      <c r="D25" s="116">
        <f>SUMIF('Orden de Compra'!$B$43:$B$242,A25,'Orden de Compra'!$C$43:$C$242)</f>
        <v/>
      </c>
      <c r="E25" s="116">
        <f>SUM('Produccion-Real'!$BA$5:$BA$154)</f>
        <v/>
      </c>
      <c r="F25" s="122">
        <f>C25+D25-E25</f>
        <v/>
      </c>
      <c r="G25" s="123">
        <f>TODAY()</f>
        <v/>
      </c>
    </row>
    <row r="26">
      <c r="A26" s="109" t="inlineStr">
        <is>
          <t>Glucosa</t>
        </is>
      </c>
      <c r="B26" s="116" t="inlineStr">
        <is>
          <t>g</t>
        </is>
      </c>
      <c r="C26" s="128" t="n">
        <v>0</v>
      </c>
      <c r="D26" s="116">
        <f>SUMIF('Orden de Compra'!$B$43:$B$242,A26,'Orden de Compra'!$C$43:$C$242)</f>
        <v/>
      </c>
      <c r="E26" s="116">
        <f>SUM('Produccion-Real'!$BB$5:$BB$154)</f>
        <v/>
      </c>
      <c r="F26" s="122">
        <f>C26+D26-E26</f>
        <v/>
      </c>
      <c r="G26" s="123">
        <f>TODAY()</f>
        <v/>
      </c>
    </row>
    <row r="27">
      <c r="A27" s="109" t="inlineStr">
        <is>
          <t>Esencia de limón</t>
        </is>
      </c>
      <c r="B27" s="116" t="inlineStr">
        <is>
          <t>ml</t>
        </is>
      </c>
      <c r="C27" s="128" t="n">
        <v>0</v>
      </c>
      <c r="D27" s="116">
        <f>SUMIF('Orden de Compra'!$B$43:$B$242,A27,'Orden de Compra'!$C$43:$C$242)</f>
        <v/>
      </c>
      <c r="E27" s="116">
        <f>SUM('Produccion-Real'!$BC$5:$BC$154)</f>
        <v/>
      </c>
      <c r="F27" s="122">
        <f>C27+D27-E27</f>
        <v/>
      </c>
      <c r="G27" s="123">
        <f>TODAY()</f>
        <v/>
      </c>
    </row>
    <row r="28">
      <c r="A28" s="109" t="inlineStr">
        <is>
          <t>Ácido acético</t>
        </is>
      </c>
      <c r="B28" s="116" t="inlineStr">
        <is>
          <t>ml</t>
        </is>
      </c>
      <c r="C28" s="128" t="n">
        <v>0</v>
      </c>
      <c r="D28" s="116">
        <f>SUMIF('Orden de Compra'!$B$43:$B$242,A28,'Orden de Compra'!$C$43:$C$242)</f>
        <v/>
      </c>
      <c r="E28" s="116">
        <f>SUM('Produccion-Real'!$BD$5:$BD$154)</f>
        <v/>
      </c>
      <c r="F28" s="122">
        <f>C28+D28-E28</f>
        <v/>
      </c>
      <c r="G28" s="123">
        <f>TODAY()</f>
        <v/>
      </c>
    </row>
    <row r="29">
      <c r="A29" s="124" t="inlineStr">
        <is>
          <t>PACKAGING Y TAPAS SANTAFESINO — consumo según pedidos marcados 'Entregado' en Pedidos</t>
        </is>
      </c>
    </row>
    <row r="30">
      <c r="A30" s="109" t="inlineStr">
        <is>
          <t>Tapas malteadas (Don Jesús)</t>
        </is>
      </c>
      <c r="B30" s="116" t="inlineStr">
        <is>
          <t>u</t>
        </is>
      </c>
      <c r="C30" s="128" t="n">
        <v>0</v>
      </c>
      <c r="D30" s="116">
        <f>SUMIF('Orden de Compra'!$B$43:$B$242,A30,'Orden de Compra'!$C$43:$C$242)</f>
        <v/>
      </c>
      <c r="E30" s="116">
        <f>SUMIFS(Pedidos!$H$5:$H$204,Pedidos!$Q$5:$Q$204,"Entregado")*7*3</f>
        <v/>
      </c>
      <c r="F30" s="122">
        <f>C30+D30-E30</f>
        <v/>
      </c>
      <c r="G30" s="123">
        <f>TODAY()</f>
        <v/>
      </c>
    </row>
    <row r="31">
      <c r="A31" s="109" t="inlineStr">
        <is>
          <t>Bandeja plástica x7</t>
        </is>
      </c>
      <c r="B31" s="116" t="inlineStr">
        <is>
          <t>u</t>
        </is>
      </c>
      <c r="C31" s="128" t="n">
        <v>0</v>
      </c>
      <c r="D31" s="116">
        <f>SUMIF('Orden de Compra'!$B$43:$B$242,A31,'Orden de Compra'!$C$43:$C$242)</f>
        <v/>
      </c>
      <c r="E31" s="116">
        <f>SUMIFS(Pedidos!$F$5:$F$204,Pedidos!$Q$5:$Q$204,"Entregado")+SUMIFS(Pedidos!$G$5:$G$204,Pedidos!$Q$5:$Q$204,"Entregado")+SUMIFS(Pedidos!$H$5:$H$204,Pedidos!$Q$5:$Q$204,"Entregado")</f>
        <v/>
      </c>
      <c r="F31" s="122">
        <f>C31+D31-E31</f>
        <v/>
      </c>
      <c r="G31" s="123">
        <f>TODAY()</f>
        <v/>
      </c>
    </row>
    <row r="32">
      <c r="A32" s="109" t="inlineStr">
        <is>
          <t>Bolsa impresa x7 (RNPA)</t>
        </is>
      </c>
      <c r="B32" s="116" t="inlineStr">
        <is>
          <t>u</t>
        </is>
      </c>
      <c r="C32" s="128" t="n">
        <v>0</v>
      </c>
      <c r="D32" s="116">
        <f>SUMIF('Orden de Compra'!$B$43:$B$242,A32,'Orden de Compra'!$C$43:$C$242)</f>
        <v/>
      </c>
      <c r="E32" s="116">
        <f>SUMIFS(Pedidos!$F$5:$F$204,Pedidos!$Q$5:$Q$204,"Entregado")+SUMIFS(Pedidos!$G$5:$G$204,Pedidos!$Q$5:$Q$204,"Entregado")+SUMIFS(Pedidos!$H$5:$H$204,Pedidos!$Q$5:$Q$204,"Entregado")</f>
        <v/>
      </c>
      <c r="F32" s="122">
        <f>C32+D32-E32</f>
        <v/>
      </c>
      <c r="G32" s="123">
        <f>TODAY()</f>
        <v/>
      </c>
    </row>
    <row r="33">
      <c r="A33" s="109" t="inlineStr">
        <is>
          <t>Caja x7</t>
        </is>
      </c>
      <c r="B33" s="116" t="inlineStr">
        <is>
          <t>u</t>
        </is>
      </c>
      <c r="C33" s="128" t="n">
        <v>0</v>
      </c>
      <c r="D33" s="116">
        <f>SUMIF('Orden de Compra'!$B$43:$B$242,A33,'Orden de Compra'!$C$43:$C$242)</f>
        <v/>
      </c>
      <c r="E33" s="116">
        <f>ROUNDUP((SUMIFS(Pedidos!$F$5:$F$204,Pedidos!$Q$5:$Q$204,"Entregado")+SUMIFS(Pedidos!$G$5:$G$204,Pedidos!$Q$5:$Q$204,"Entregado")+SUMIFS(Pedidos!$H$5:$H$204,Pedidos!$Q$5:$Q$204,"Entregado"))/15,0)</f>
        <v/>
      </c>
      <c r="F33" s="122">
        <f>C33+D33-E33</f>
        <v/>
      </c>
      <c r="G33" s="123">
        <f>TODAY()</f>
        <v/>
      </c>
    </row>
    <row r="34">
      <c r="A34" s="109" t="inlineStr">
        <is>
          <t>Bandeja con tapa x14</t>
        </is>
      </c>
      <c r="B34" s="116" t="inlineStr">
        <is>
          <t>u</t>
        </is>
      </c>
      <c r="C34" s="128" t="n">
        <v>0</v>
      </c>
      <c r="D34" s="116">
        <f>SUMIF('Orden de Compra'!$B$43:$B$242,A34,'Orden de Compra'!$C$43:$C$242)</f>
        <v/>
      </c>
      <c r="E34" s="116">
        <f>SUMIFS(Pedidos!$I$5:$I$204,Pedidos!$Q$5:$Q$204,"Entregado")</f>
        <v/>
      </c>
      <c r="F34" s="122">
        <f>C34+D34-E34</f>
        <v/>
      </c>
      <c r="G34" s="123">
        <f>TODAY()</f>
        <v/>
      </c>
    </row>
    <row r="35">
      <c r="A35" s="109" t="inlineStr">
        <is>
          <t>Etiqueta cierre x14</t>
        </is>
      </c>
      <c r="B35" s="116" t="inlineStr">
        <is>
          <t>u</t>
        </is>
      </c>
      <c r="C35" s="128" t="n">
        <v>0</v>
      </c>
      <c r="D35" s="116">
        <f>SUMIF('Orden de Compra'!$B$43:$B$242,A35,'Orden de Compra'!$C$43:$C$242)</f>
        <v/>
      </c>
      <c r="E35" s="116">
        <f>SUMIFS(Pedidos!$I$5:$I$204,Pedidos!$Q$5:$Q$204,"Entregado")</f>
        <v/>
      </c>
      <c r="F35" s="122">
        <f>C35+D35-E35</f>
        <v/>
      </c>
      <c r="G35" s="123">
        <f>TODAY()</f>
        <v/>
      </c>
    </row>
    <row r="36">
      <c r="A36" s="109" t="inlineStr">
        <is>
          <t>Bandeja abierta 320g Pepas</t>
        </is>
      </c>
      <c r="B36" s="116" t="inlineStr">
        <is>
          <t>u</t>
        </is>
      </c>
      <c r="C36" s="128" t="n">
        <v>0</v>
      </c>
      <c r="D36" s="116">
        <f>SUMIF('Orden de Compra'!$B$43:$B$242,A36,'Orden de Compra'!$C$43:$C$242)</f>
        <v/>
      </c>
      <c r="E36" s="116">
        <f>SUMIFS(Pedidos!$J$5:$J$204,Pedidos!$Q$5:$Q$204,"Entregado")+SUMIFS(Pedidos!$K$5:$K$204,Pedidos!$Q$5:$Q$204,"Entregado")+SUMIFS(Pedidos!$L$5:$L$204,Pedidos!$Q$5:$Q$204,"Entregado")+SUMIFS(Pedidos!$M$5:$M$204,Pedidos!$Q$5:$Q$204,"Entregado")+SUMIFS(Pedidos!$N$5:$N$204,Pedidos!$Q$5:$Q$204,"Entregado")</f>
        <v/>
      </c>
      <c r="F36" s="122">
        <f>C36+D36-E36</f>
        <v/>
      </c>
      <c r="G36" s="123">
        <f>TODAY()</f>
        <v/>
      </c>
    </row>
    <row r="37">
      <c r="A37" s="109" t="inlineStr">
        <is>
          <t>Etiqueta Pepas</t>
        </is>
      </c>
      <c r="B37" s="116" t="inlineStr">
        <is>
          <t>u</t>
        </is>
      </c>
      <c r="C37" s="128" t="n">
        <v>0</v>
      </c>
      <c r="D37" s="116">
        <f>SUMIF('Orden de Compra'!$B$43:$B$242,A37,'Orden de Compra'!$C$43:$C$242)</f>
        <v/>
      </c>
      <c r="E37" s="116">
        <f>SUMIFS(Pedidos!$J$5:$J$204,Pedidos!$Q$5:$Q$204,"Entregado")+SUMIFS(Pedidos!$K$5:$K$204,Pedidos!$Q$5:$Q$204,"Entregado")+SUMIFS(Pedidos!$L$5:$L$204,Pedidos!$Q$5:$Q$204,"Entregado")+SUMIFS(Pedidos!$M$5:$M$204,Pedidos!$Q$5:$Q$204,"Entregado")+SUMIFS(Pedidos!$N$5:$N$204,Pedidos!$Q$5:$Q$204,"Entregado")</f>
        <v/>
      </c>
      <c r="F37" s="122">
        <f>C37+D37-E37</f>
        <v/>
      </c>
      <c r="G37" s="123">
        <f>TODAY()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FD3"/>
  <mergeCells count="3">
    <mergeCell ref="A2:G2"/>
    <mergeCell ref="A1:G1"/>
    <mergeCell ref="A29:G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54" min="1" max="1"/>
    <col width="9" customWidth="1" style="54" min="2" max="2"/>
    <col width="34" customWidth="1" style="54" min="3" max="3"/>
    <col width="13" customWidth="1" style="54" min="4" max="4"/>
    <col width="11" customWidth="1" style="54" min="5" max="5"/>
    <col width="15" customWidth="1" style="54" min="6" max="6"/>
    <col width="40" customWidth="1" style="54" min="7" max="7"/>
  </cols>
  <sheetData>
    <row r="1" ht="24" customHeight="1" s="55">
      <c r="A1" s="56" t="inlineStr">
        <is>
          <t>RELLENO Y GLASÉ — Producción del día</t>
        </is>
      </c>
    </row>
    <row r="2" ht="18" customHeight="1" s="55">
      <c r="A2" s="59" t="inlineStr">
        <is>
          <t>Se calcula solo según los pedidos de la fecha elegida en Panel.</t>
        </is>
      </c>
    </row>
    <row r="4" ht="15" customHeight="1" s="55">
      <c r="A4" s="79" t="inlineStr">
        <is>
          <t>Fecha de entrega a producir:</t>
        </is>
      </c>
      <c r="B4" s="80">
        <f>Panel!$D$4</f>
        <v/>
      </c>
    </row>
    <row r="6" ht="15" customHeight="1" s="55">
      <c r="A6" s="79" t="inlineStr">
        <is>
          <t>ALFAJORES/PEPAS POR LÍNEA (fecha elegida)</t>
        </is>
      </c>
    </row>
    <row r="7" ht="15" customHeight="1" s="55">
      <c r="A7" s="84" t="inlineStr">
        <is>
          <t>Maicena (alfajores, x7+x14)</t>
        </is>
      </c>
      <c r="B7" s="84">
        <f>(Panel!$B$8*7)+(Panel!$B$11*14)</f>
        <v/>
      </c>
    </row>
    <row r="8" ht="15" customHeight="1" s="55">
      <c r="A8" s="84" t="inlineStr">
        <is>
          <t>Frutal (alfajores)</t>
        </is>
      </c>
      <c r="B8" s="84">
        <f>Panel!$B$9*7</f>
        <v/>
      </c>
    </row>
    <row r="9" ht="15" customHeight="1" s="55">
      <c r="A9" s="84" t="inlineStr">
        <is>
          <t>Santafesino (alfajores)</t>
        </is>
      </c>
      <c r="B9" s="84">
        <f>Panel!$B$10*7</f>
        <v/>
      </c>
    </row>
    <row r="10" ht="15" customHeight="1" s="55">
      <c r="A10" s="84" t="inlineStr">
        <is>
          <t>Pepas DDL (unidades)</t>
        </is>
      </c>
      <c r="B10" s="84">
        <f>Panel!$B$12*18</f>
        <v/>
      </c>
    </row>
    <row r="11" ht="15" customHeight="1" s="55">
      <c r="A11" s="84" t="inlineStr">
        <is>
          <t>Pepas Membrillo (unidades)</t>
        </is>
      </c>
      <c r="B11" s="84">
        <f>Panel!$B$13*18</f>
        <v/>
      </c>
    </row>
    <row r="12" ht="15" customHeight="1" s="55">
      <c r="A12" s="84" t="inlineStr">
        <is>
          <t>Pepas Arándano (unidades)</t>
        </is>
      </c>
      <c r="B12" s="84">
        <f>Panel!$B$14*18</f>
        <v/>
      </c>
    </row>
    <row r="13" ht="15" customHeight="1" s="55">
      <c r="A13" s="84" t="inlineStr">
        <is>
          <t>Pepas Batata (unidades)</t>
        </is>
      </c>
      <c r="B13" s="84">
        <f>Panel!$B$15*18</f>
        <v/>
      </c>
    </row>
    <row r="14" ht="15" customHeight="1" s="55">
      <c r="A14" s="84" t="inlineStr">
        <is>
          <t>Pepas Frutos del Bosque (unidades)</t>
        </is>
      </c>
      <c r="B14" s="84">
        <f>Panel!$B$16*18</f>
        <v/>
      </c>
    </row>
    <row r="16" ht="15" customHeight="1" s="55">
      <c r="A16" s="79" t="inlineStr">
        <is>
          <t>RELLENOS Y GLASÉ — necesario vs. stock vs. a comprar</t>
        </is>
      </c>
    </row>
    <row r="17" ht="27.75" customHeight="1" s="55">
      <c r="A17" s="70" t="inlineStr">
        <is>
          <t>Insumo</t>
        </is>
      </c>
      <c r="B17" s="70" t="inlineStr">
        <is>
          <t>Unidad</t>
        </is>
      </c>
      <c r="C17" s="70" t="inlineStr">
        <is>
          <t>Cálculo</t>
        </is>
      </c>
      <c r="D17" s="70" t="inlineStr">
        <is>
          <t>Necesario Total</t>
        </is>
      </c>
      <c r="E17" s="70" t="inlineStr">
        <is>
          <t>Stock actual</t>
        </is>
      </c>
      <c r="F17" s="70" t="inlineStr">
        <is>
          <t>Faltante (comprar)</t>
        </is>
      </c>
      <c r="G17" s="70" t="inlineStr">
        <is>
          <t>Nota</t>
        </is>
      </c>
    </row>
    <row r="18" ht="15" customHeight="1" s="55">
      <c r="A18" s="84" t="inlineStr">
        <is>
          <t>Dulce de leche (La Colonias)</t>
        </is>
      </c>
      <c r="B18" s="88" t="inlineStr">
        <is>
          <t>kg</t>
        </is>
      </c>
      <c r="C18" s="85">
        <f>(B7*25.51+B9*30+B10*7.5)/1000</f>
        <v/>
      </c>
      <c r="D18" s="88">
        <f>C18</f>
        <v/>
      </c>
      <c r="E18" s="126">
        <f>Stock!$F$18</f>
        <v/>
      </c>
      <c r="F18" s="90">
        <f>MAX(D18-E18,0)</f>
        <v/>
      </c>
      <c r="G18" s="85" t="inlineStr">
        <is>
          <t>La Colonias · Maicena 25,51g/alf + Santaf. 30g/alf + Pepas DDL 7,5g/u</t>
        </is>
      </c>
    </row>
    <row r="19" ht="15" customHeight="1" s="55">
      <c r="A19" s="84" t="inlineStr">
        <is>
          <t>Membrillo</t>
        </is>
      </c>
      <c r="B19" s="88" t="inlineStr">
        <is>
          <t>kg</t>
        </is>
      </c>
      <c r="C19" s="85">
        <f>(B8*21.74+B11*7.5)/1000</f>
        <v/>
      </c>
      <c r="D19" s="88">
        <f>C19</f>
        <v/>
      </c>
      <c r="E19" s="126">
        <f>Stock!$F$19</f>
        <v/>
      </c>
      <c r="F19" s="90">
        <f>MAX(D19-E19,0)</f>
        <v/>
      </c>
      <c r="G19" s="85" t="inlineStr">
        <is>
          <t>Frutal 21,74g/alf + Pepas Membrillo 7,5g/u</t>
        </is>
      </c>
    </row>
    <row r="20" ht="15" customHeight="1" s="55">
      <c r="A20" s="84" t="inlineStr">
        <is>
          <t>Coco rallado</t>
        </is>
      </c>
      <c r="B20" s="88" t="inlineStr">
        <is>
          <t>kg</t>
        </is>
      </c>
      <c r="C20" s="85">
        <f>(B7*0.71)/1000</f>
        <v/>
      </c>
      <c r="D20" s="88">
        <f>C20</f>
        <v/>
      </c>
      <c r="E20" s="126">
        <f>Stock!$F$20</f>
        <v/>
      </c>
      <c r="F20" s="90">
        <f>MAX(D20-E20,0)</f>
        <v/>
      </c>
      <c r="G20" s="85" t="inlineStr">
        <is>
          <t>Solo Maicena, 0,71g/alf</t>
        </is>
      </c>
    </row>
    <row r="21" ht="15" customHeight="1" s="55">
      <c r="A21" s="84" t="inlineStr">
        <is>
          <t>Dulce de batata</t>
        </is>
      </c>
      <c r="B21" s="88" t="inlineStr">
        <is>
          <t>kg</t>
        </is>
      </c>
      <c r="C21" s="85">
        <f>(B13*5)/1000</f>
        <v/>
      </c>
      <c r="D21" s="88">
        <f>C21</f>
        <v/>
      </c>
      <c r="E21" s="126">
        <f>Stock!$F$21</f>
        <v/>
      </c>
      <c r="F21" s="90">
        <f>MAX(D21-E21,0)</f>
        <v/>
      </c>
      <c r="G21" s="85" t="inlineStr">
        <is>
          <t>Pepas Batata 5g/u · multiprocesadora</t>
        </is>
      </c>
    </row>
    <row r="22" ht="15" customHeight="1" s="55">
      <c r="A22" s="84" t="inlineStr">
        <is>
          <t>Mermelada de arándano</t>
        </is>
      </c>
      <c r="B22" s="88" t="inlineStr">
        <is>
          <t>kg</t>
        </is>
      </c>
      <c r="C22" s="85">
        <f>(B12*7)/1000</f>
        <v/>
      </c>
      <c r="D22" s="88">
        <f>C22</f>
        <v/>
      </c>
      <c r="E22" s="126">
        <f>Stock!$F$22</f>
        <v/>
      </c>
      <c r="F22" s="90">
        <f>MAX(D22-E22,0)</f>
        <v/>
      </c>
      <c r="G22" s="85" t="inlineStr">
        <is>
          <t>Pepas Arándano 7g/u</t>
        </is>
      </c>
    </row>
    <row r="23" ht="15" customHeight="1" s="55">
      <c r="A23" s="84" t="inlineStr">
        <is>
          <t>Frutos del bosque</t>
        </is>
      </c>
      <c r="B23" s="88" t="inlineStr">
        <is>
          <t>kg</t>
        </is>
      </c>
      <c r="C23" s="85">
        <f>(B14*7)/1000</f>
        <v/>
      </c>
      <c r="D23" s="88">
        <f>C23</f>
        <v/>
      </c>
      <c r="E23" s="126">
        <f>Stock!$F$23</f>
        <v/>
      </c>
      <c r="F23" s="90">
        <f>MAX(D23-E23,0)</f>
        <v/>
      </c>
      <c r="G23" s="85" t="inlineStr">
        <is>
          <t>Pepas Frutos Bosque 7g/u · 🚨 margen casi cero, no bajar precio de venta</t>
        </is>
      </c>
    </row>
    <row r="25" ht="15" customHeight="1" s="55">
      <c r="A25" s="79" t="inlineStr">
        <is>
          <t>GLASÉ (Frutal + Santafesino comparten receta — 1 preparado rinde 115 alfajores)</t>
        </is>
      </c>
    </row>
    <row r="26" ht="15" customHeight="1" s="55">
      <c r="A26" s="84" t="inlineStr">
        <is>
          <t>Alfajores que llevan glasé (Frutal+Santafesino)</t>
        </is>
      </c>
      <c r="B26" s="87" t="n"/>
      <c r="C26" s="84">
        <f>B8+B9</f>
        <v/>
      </c>
      <c r="D26" s="84">
        <f>C26</f>
        <v/>
      </c>
    </row>
    <row r="27" ht="15" customHeight="1" s="55">
      <c r="A27" s="86" t="inlineStr">
        <is>
          <t>→ PREPARADOS de glasé a hacer</t>
        </is>
      </c>
      <c r="B27" s="87" t="n"/>
      <c r="C27" s="86">
        <f>ROUNDUP(D26/115,0)</f>
        <v/>
      </c>
    </row>
    <row r="28" ht="15" customHeight="1" s="55">
      <c r="A28" s="84" t="inlineStr">
        <is>
          <t>Azúcar impalpable</t>
        </is>
      </c>
      <c r="B28" s="88" t="inlineStr">
        <is>
          <t>kg</t>
        </is>
      </c>
      <c r="C28" s="85">
        <f>C27*1.5</f>
        <v/>
      </c>
      <c r="D28" s="88">
        <f>C28</f>
        <v/>
      </c>
      <c r="E28" s="126">
        <f>Stock!$F$24</f>
        <v/>
      </c>
      <c r="F28" s="90">
        <f>MAX(D28-E28,0)</f>
        <v/>
      </c>
    </row>
    <row r="29" ht="15" customHeight="1" s="55">
      <c r="A29" s="84" t="inlineStr">
        <is>
          <t>Albúmina</t>
        </is>
      </c>
      <c r="B29" s="88" t="inlineStr">
        <is>
          <t>g</t>
        </is>
      </c>
      <c r="C29" s="85">
        <f>C27*20</f>
        <v/>
      </c>
      <c r="D29" s="88">
        <f>C29</f>
        <v/>
      </c>
      <c r="E29" s="126">
        <f>Stock!$F$25</f>
        <v/>
      </c>
      <c r="F29" s="90">
        <f>MAX(D29-E29,0)</f>
        <v/>
      </c>
    </row>
    <row r="30" ht="15" customHeight="1" s="55">
      <c r="A30" s="84" t="inlineStr">
        <is>
          <t>Glucosa</t>
        </is>
      </c>
      <c r="B30" s="88" t="inlineStr">
        <is>
          <t>g</t>
        </is>
      </c>
      <c r="C30" s="85">
        <f>C27*80</f>
        <v/>
      </c>
      <c r="D30" s="88">
        <f>C30</f>
        <v/>
      </c>
      <c r="E30" s="126">
        <f>Stock!$F$26</f>
        <v/>
      </c>
      <c r="F30" s="90">
        <f>MAX(D30-E30,0)</f>
        <v/>
      </c>
    </row>
    <row r="31" ht="15" customHeight="1" s="55">
      <c r="A31" s="84" t="inlineStr">
        <is>
          <t>Esencia de limón</t>
        </is>
      </c>
      <c r="B31" s="88" t="inlineStr">
        <is>
          <t>ml</t>
        </is>
      </c>
      <c r="C31" s="85">
        <f>C27*5</f>
        <v/>
      </c>
      <c r="D31" s="88">
        <f>C31</f>
        <v/>
      </c>
      <c r="E31" s="126">
        <f>Stock!$F$27</f>
        <v/>
      </c>
      <c r="F31" s="90">
        <f>MAX(D31-E31,0)</f>
        <v/>
      </c>
    </row>
    <row r="32" ht="15" customHeight="1" s="55">
      <c r="A32" s="84" t="inlineStr">
        <is>
          <t>Ácido acético</t>
        </is>
      </c>
      <c r="B32" s="88" t="inlineStr">
        <is>
          <t>ml</t>
        </is>
      </c>
      <c r="C32" s="85">
        <f>C27*2.5</f>
        <v/>
      </c>
      <c r="D32" s="88">
        <f>C32</f>
        <v/>
      </c>
      <c r="E32" s="126">
        <f>Stock!$F$28</f>
        <v/>
      </c>
      <c r="F32" s="90">
        <f>MAX(D32-E32,0)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FFD3"/>
  <mergeCells count="5">
    <mergeCell ref="A1:G1"/>
    <mergeCell ref="A6:D6"/>
    <mergeCell ref="A2:G2"/>
    <mergeCell ref="A16:G16"/>
    <mergeCell ref="A25:G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4" min="1" max="1"/>
    <col width="8" customWidth="1" style="54" min="2" max="2"/>
    <col width="38" customWidth="1" style="54" min="3" max="3"/>
    <col width="13" customWidth="1" style="54" min="4" max="4"/>
    <col width="11" customWidth="1" style="54" min="5" max="5"/>
    <col width="15" customWidth="1" style="54" min="6" max="6"/>
    <col width="26" customWidth="1" style="54" min="7" max="7"/>
  </cols>
  <sheetData>
    <row r="1" ht="24" customHeight="1" s="55">
      <c r="A1" s="56" t="inlineStr">
        <is>
          <t>ARMADO Y PACKAGING — Producción del día</t>
        </is>
      </c>
    </row>
    <row r="2" ht="18" customHeight="1" s="55">
      <c r="A2" s="59" t="inlineStr">
        <is>
          <t>Se calcula solo según los pedidos de la fecha elegida en Panel.</t>
        </is>
      </c>
    </row>
    <row r="4" ht="15" customHeight="1" s="55">
      <c r="A4" s="79" t="inlineStr">
        <is>
          <t>Fecha de entrega a producir:</t>
        </is>
      </c>
      <c r="B4" s="80">
        <f>Panel!$D$4</f>
        <v/>
      </c>
    </row>
    <row r="6" ht="15" customHeight="1" s="55">
      <c r="A6" s="79" t="inlineStr">
        <is>
          <t>CAPACIDAD DE ARMADO (María + Francisco) — referencia</t>
        </is>
      </c>
    </row>
    <row r="7" ht="15" customHeight="1" s="55">
      <c r="A7" s="81" t="inlineStr">
        <is>
          <t>Producción armado 1ra hora</t>
        </is>
      </c>
      <c r="B7" s="91" t="inlineStr">
        <is>
          <t>504</t>
        </is>
      </c>
      <c r="C7" s="71" t="inlineStr">
        <is>
          <t>alfajores/hora</t>
        </is>
      </c>
    </row>
    <row r="8" ht="15" customHeight="1" s="55">
      <c r="A8" s="81" t="inlineStr">
        <is>
          <t>Producción armado 2da hora</t>
        </is>
      </c>
      <c r="B8" s="91" t="inlineStr">
        <is>
          <t>392</t>
        </is>
      </c>
      <c r="C8" s="71" t="inlineStr">
        <is>
          <t>alfajores/hora</t>
        </is>
      </c>
    </row>
    <row r="9" ht="15" customHeight="1" s="55">
      <c r="A9" s="81" t="inlineStr">
        <is>
          <t>Producción armado 3ra hora</t>
        </is>
      </c>
      <c r="B9" s="91" t="inlineStr">
        <is>
          <t>336</t>
        </is>
      </c>
      <c r="C9" s="71" t="inlineStr">
        <is>
          <t>alfajores/hora — caída ~33% por cansancio, considerar rotación</t>
        </is>
      </c>
    </row>
    <row r="11" ht="15" customHeight="1" s="55">
      <c r="A11" s="79" t="inlineStr">
        <is>
          <t>PACKAGING — necesario vs. stock vs. a comprar</t>
        </is>
      </c>
    </row>
    <row r="12" ht="27.75" customHeight="1" s="55">
      <c r="A12" s="70" t="inlineStr">
        <is>
          <t>Insumo</t>
        </is>
      </c>
      <c r="B12" s="70" t="inlineStr">
        <is>
          <t>Unidad</t>
        </is>
      </c>
      <c r="C12" s="70" t="inlineStr">
        <is>
          <t>Cálculo</t>
        </is>
      </c>
      <c r="D12" s="70" t="inlineStr">
        <is>
          <t>Necesario Total</t>
        </is>
      </c>
      <c r="E12" s="70" t="inlineStr">
        <is>
          <t>Stock actual</t>
        </is>
      </c>
      <c r="F12" s="70" t="inlineStr">
        <is>
          <t>Faltante (comprar)</t>
        </is>
      </c>
      <c r="G12" s="70" t="inlineStr">
        <is>
          <t>Proveedor</t>
        </is>
      </c>
    </row>
    <row r="13" ht="15" customHeight="1" s="55">
      <c r="A13" s="84" t="inlineStr">
        <is>
          <t>Bandeja plástica x7</t>
        </is>
      </c>
      <c r="B13" s="88" t="inlineStr">
        <is>
          <t>u</t>
        </is>
      </c>
      <c r="C13" s="85">
        <f>Panel!$B$8+Panel!$B$9+Panel!$B$10</f>
        <v/>
      </c>
      <c r="D13" s="88">
        <f>C13</f>
        <v/>
      </c>
      <c r="E13" s="126">
        <f>Stock!$F$31</f>
        <v/>
      </c>
      <c r="F13" s="90">
        <f>MAX(D13-E13,0)</f>
        <v/>
      </c>
      <c r="G13" s="85" t="inlineStr">
        <is>
          <t>Lote 4.000u</t>
        </is>
      </c>
    </row>
    <row r="14" ht="15" customHeight="1" s="55">
      <c r="A14" s="84" t="inlineStr">
        <is>
          <t>Bolsa impresa x7 (RNPA)</t>
        </is>
      </c>
      <c r="B14" s="88" t="inlineStr">
        <is>
          <t>u</t>
        </is>
      </c>
      <c r="C14" s="85">
        <f>Panel!$B$8+Panel!$B$9+Panel!$B$10</f>
        <v/>
      </c>
      <c r="D14" s="88">
        <f>C14</f>
        <v/>
      </c>
      <c r="E14" s="126">
        <f>Stock!$F$32</f>
        <v/>
      </c>
      <c r="F14" s="90">
        <f>MAX(D14-E14,0)</f>
        <v/>
      </c>
      <c r="G14" s="85" t="inlineStr">
        <is>
          <t>Insupar · lote 8.000u</t>
        </is>
      </c>
    </row>
    <row r="15" ht="15" customHeight="1" s="55">
      <c r="A15" s="84" t="inlineStr">
        <is>
          <t>Caja x7 (cada 15 paquetes)</t>
        </is>
      </c>
      <c r="B15" s="88" t="inlineStr">
        <is>
          <t>u</t>
        </is>
      </c>
      <c r="C15" s="85">
        <f>ROUNDUP((Panel!$B$8+Panel!$B$9+Panel!$B$10)/15,0)</f>
        <v/>
      </c>
      <c r="D15" s="88">
        <f>C15</f>
        <v/>
      </c>
      <c r="E15" s="126">
        <f>Stock!$F$33</f>
        <v/>
      </c>
      <c r="F15" s="90">
        <f>MAX(D15-E15,0)</f>
        <v/>
      </c>
      <c r="G15" s="85" t="inlineStr">
        <is>
          <t>25 cajas/pedido</t>
        </is>
      </c>
    </row>
    <row r="16" ht="15" customHeight="1" s="55">
      <c r="A16" s="84" t="inlineStr">
        <is>
          <t>Bandeja con tapa integrada x14</t>
        </is>
      </c>
      <c r="B16" s="88" t="inlineStr">
        <is>
          <t>u</t>
        </is>
      </c>
      <c r="C16" s="85">
        <f>Panel!$B$11</f>
        <v/>
      </c>
      <c r="D16" s="88">
        <f>C16</f>
        <v/>
      </c>
      <c r="E16" s="126">
        <f>Stock!$F$34</f>
        <v/>
      </c>
      <c r="F16" s="90">
        <f>MAX(D16-E16,0)</f>
        <v/>
      </c>
      <c r="G16" s="85" t="inlineStr">
        <is>
          <t>Lote 300u</t>
        </is>
      </c>
    </row>
    <row r="17" ht="15" customHeight="1" s="55">
      <c r="A17" s="84" t="inlineStr">
        <is>
          <t>Etiqueta de cierre x14</t>
        </is>
      </c>
      <c r="B17" s="88" t="inlineStr">
        <is>
          <t>u</t>
        </is>
      </c>
      <c r="C17" s="85">
        <f>Panel!$B$11</f>
        <v/>
      </c>
      <c r="D17" s="88">
        <f>C17</f>
        <v/>
      </c>
      <c r="E17" s="126">
        <f>Stock!$F$35</f>
        <v/>
      </c>
      <c r="F17" s="90">
        <f>MAX(D17-E17,0)</f>
        <v/>
      </c>
      <c r="G17" s="85" t="inlineStr">
        <is>
          <t>5.000u/lote · impresora etiquetas</t>
        </is>
      </c>
    </row>
    <row r="18" ht="15" customHeight="1" s="55">
      <c r="A18" s="84" t="inlineStr">
        <is>
          <t>Bandeja abierta 320g (Pepas)</t>
        </is>
      </c>
      <c r="B18" s="88" t="inlineStr">
        <is>
          <t>u</t>
        </is>
      </c>
      <c r="C18" s="85">
        <f>Panel!$B$12+Panel!$B$13+Panel!$B$14+Panel!$B$15+Panel!$B$16</f>
        <v/>
      </c>
      <c r="D18" s="88">
        <f>C18</f>
        <v/>
      </c>
      <c r="E18" s="126">
        <f>Stock!$F$36</f>
        <v/>
      </c>
      <c r="F18" s="90">
        <f>MAX(D18-E18,0)</f>
        <v/>
      </c>
      <c r="G18" s="85" t="inlineStr">
        <is>
          <t>Fran Descartables · 200u/lote</t>
        </is>
      </c>
    </row>
    <row r="19" ht="15" customHeight="1" s="55">
      <c r="A19" s="84" t="inlineStr">
        <is>
          <t>Etiqueta Pepas</t>
        </is>
      </c>
      <c r="B19" s="88" t="inlineStr">
        <is>
          <t>u</t>
        </is>
      </c>
      <c r="C19" s="85">
        <f>Panel!$B$12+Panel!$B$13+Panel!$B$14+Panel!$B$15+Panel!$B$16</f>
        <v/>
      </c>
      <c r="D19" s="88">
        <f>C19</f>
        <v/>
      </c>
      <c r="E19" s="126">
        <f>Stock!$F$37</f>
        <v/>
      </c>
      <c r="F19" s="90">
        <f>MAX(D19-E19,0)</f>
        <v/>
      </c>
      <c r="G19" s="85" t="inlineStr">
        <is>
          <t>20 planchas×22u · cizalla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FFD3"/>
  <mergeCells count="7">
    <mergeCell ref="A1:G1"/>
    <mergeCell ref="C8:E8"/>
    <mergeCell ref="C9:E9"/>
    <mergeCell ref="A2:G2"/>
    <mergeCell ref="C7:E7"/>
    <mergeCell ref="A6:E6"/>
    <mergeCell ref="A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54" min="1" max="1"/>
    <col width="32" customWidth="1" style="54" min="2" max="2"/>
    <col width="16" customWidth="1" style="54" min="3" max="4"/>
    <col width="26" customWidth="1" style="55" min="4" max="4"/>
    <col width="13" customWidth="1" style="54" min="5" max="5"/>
    <col hidden="1" width="26" customWidth="1" style="54" min="6" max="6"/>
    <col width="18" customWidth="1" style="54" min="7" max="7"/>
  </cols>
  <sheetData>
    <row r="1" ht="24" customHeight="1" s="55">
      <c r="A1" s="56" t="inlineStr">
        <is>
          <t>ORDEN DE COMPRA CONSOLIDADA</t>
        </is>
      </c>
    </row>
    <row r="2" ht="18" customHeight="1" s="55">
      <c r="A2" s="59" t="inlineStr">
        <is>
          <t>⚠ HOJA SENSIBLE — contiene costos de proveedores. Lee automáticamente los faltantes de las 3 hojas de producción.</t>
        </is>
      </c>
    </row>
    <row r="4" ht="15" customHeight="1" s="55">
      <c r="A4" s="79" t="inlineStr">
        <is>
          <t>Fecha de entrega planificada:</t>
        </is>
      </c>
      <c r="B4" s="80">
        <f>Panel!$D$4</f>
        <v/>
      </c>
    </row>
    <row r="6" ht="15" customHeight="1" s="55">
      <c r="A6" s="79" t="inlineStr">
        <is>
          <t>ORDEN DE COMPRA — todo lo que figura como 'Faltante' en Amasijo-Horneado, Relleno-Glase y Armado-Packaging</t>
        </is>
      </c>
    </row>
    <row r="7" ht="27.75" customHeight="1" s="55">
      <c r="A7" s="70" t="inlineStr">
        <is>
          <t>Insumo</t>
        </is>
      </c>
      <c r="B7" s="70" t="inlineStr">
        <is>
          <t>Unidad</t>
        </is>
      </c>
      <c r="C7" s="70" t="inlineStr">
        <is>
          <t>Faltante (cantidad)</t>
        </is>
      </c>
      <c r="D7" s="70" t="inlineStr">
        <is>
          <t>Precio unitario</t>
        </is>
      </c>
      <c r="E7" s="70" t="inlineStr">
        <is>
          <t>Costo total</t>
        </is>
      </c>
      <c r="F7" s="70" t="inlineStr">
        <is>
          <t>Proveedor</t>
        </is>
      </c>
      <c r="G7" s="70" t="inlineStr">
        <is>
          <t>Hoja origen</t>
        </is>
      </c>
    </row>
    <row r="8" ht="15" customHeight="1" s="55">
      <c r="A8" s="84" t="inlineStr">
        <is>
          <t>Huevo</t>
        </is>
      </c>
      <c r="B8" s="88" t="inlineStr">
        <is>
          <t>u</t>
        </is>
      </c>
      <c r="C8" s="88">
        <f>'Amasijo-Horneado'!$G$30</f>
        <v/>
      </c>
      <c r="D8" s="92" t="n">
        <v>116.67</v>
      </c>
      <c r="E8" s="93">
        <f>C8*D8</f>
        <v/>
      </c>
      <c r="F8" s="85" t="inlineStr">
        <is>
          <t>Huvero</t>
        </is>
      </c>
      <c r="G8" s="85" t="inlineStr">
        <is>
          <t>Amasijo-Horneado</t>
        </is>
      </c>
    </row>
    <row r="9" ht="15" customHeight="1" s="55">
      <c r="A9" s="84" t="inlineStr">
        <is>
          <t>Vainilla</t>
        </is>
      </c>
      <c r="B9" s="88" t="inlineStr">
        <is>
          <t>ml</t>
        </is>
      </c>
      <c r="C9" s="88">
        <f>'Amasijo-Horneado'!$G$31</f>
        <v/>
      </c>
      <c r="D9" s="92" t="n">
        <v>1.2</v>
      </c>
      <c r="E9" s="93">
        <f>C9*D9</f>
        <v/>
      </c>
      <c r="F9" s="85" t="inlineStr">
        <is>
          <t>Emeth · Insupar</t>
        </is>
      </c>
      <c r="G9" s="85" t="inlineStr">
        <is>
          <t>Amasijo-Horneado</t>
        </is>
      </c>
    </row>
    <row r="10" ht="15" customHeight="1" s="55">
      <c r="A10" s="84" t="inlineStr">
        <is>
          <t>Colorante amarillo</t>
        </is>
      </c>
      <c r="B10" s="88" t="inlineStr">
        <is>
          <t>cm³</t>
        </is>
      </c>
      <c r="C10" s="88">
        <f>'Amasijo-Horneado'!$G$32</f>
        <v/>
      </c>
      <c r="D10" s="92" t="n">
        <v>1.28</v>
      </c>
      <c r="E10" s="93">
        <f>C10*D10</f>
        <v/>
      </c>
      <c r="F10" s="85" t="inlineStr">
        <is>
          <t>Emeth · Insupar</t>
        </is>
      </c>
      <c r="G10" s="85" t="inlineStr">
        <is>
          <t>Amasijo-Horneado</t>
        </is>
      </c>
    </row>
    <row r="11" ht="15" customHeight="1" s="55">
      <c r="A11" s="84" t="inlineStr">
        <is>
          <t>Miel</t>
        </is>
      </c>
      <c r="B11" s="88" t="inlineStr">
        <is>
          <t>cm³</t>
        </is>
      </c>
      <c r="C11" s="88">
        <f>'Amasijo-Horneado'!$G$33</f>
        <v/>
      </c>
      <c r="D11" s="92" t="n">
        <v>4</v>
      </c>
      <c r="E11" s="93">
        <f>C11*D11</f>
        <v/>
      </c>
      <c r="F11" s="85" t="inlineStr">
        <is>
          <t>Apicultor local</t>
        </is>
      </c>
      <c r="G11" s="85" t="inlineStr">
        <is>
          <t>Amasijo-Horneado</t>
        </is>
      </c>
    </row>
    <row r="12" ht="15" customHeight="1" s="55">
      <c r="A12" s="84" t="inlineStr">
        <is>
          <t>Sorbato de potasio</t>
        </is>
      </c>
      <c r="B12" s="88" t="inlineStr">
        <is>
          <t>g</t>
        </is>
      </c>
      <c r="C12" s="88">
        <f>'Amasijo-Horneado'!$G$34</f>
        <v/>
      </c>
      <c r="D12" s="92" t="n">
        <v>17</v>
      </c>
      <c r="E12" s="93">
        <f>C12*D12</f>
        <v/>
      </c>
      <c r="F12" s="85" t="inlineStr">
        <is>
          <t>CGA · Insupar/ISCO</t>
        </is>
      </c>
      <c r="G12" s="85" t="inlineStr">
        <is>
          <t>Amasijo-Horneado</t>
        </is>
      </c>
    </row>
    <row r="13" ht="15" customHeight="1" s="55">
      <c r="A13" s="84" t="inlineStr">
        <is>
          <t>Propionato de calcio</t>
        </is>
      </c>
      <c r="B13" s="88" t="inlineStr">
        <is>
          <t>g</t>
        </is>
      </c>
      <c r="C13" s="88">
        <f>'Amasijo-Horneado'!$G$35</f>
        <v/>
      </c>
      <c r="D13" s="92" t="n">
        <v>6</v>
      </c>
      <c r="E13" s="93">
        <f>C13*D13</f>
        <v/>
      </c>
      <c r="F13" s="85" t="inlineStr">
        <is>
          <t>CGA · Insupar/ISCO</t>
        </is>
      </c>
      <c r="G13" s="85" t="inlineStr">
        <is>
          <t>Amasijo-Horneado</t>
        </is>
      </c>
    </row>
    <row r="14" ht="15" customHeight="1" s="55">
      <c r="A14" s="84" t="inlineStr">
        <is>
          <t>Azúcar</t>
        </is>
      </c>
      <c r="B14" s="88" t="inlineStr">
        <is>
          <t>kg</t>
        </is>
      </c>
      <c r="C14" s="88">
        <f>'Amasijo-Horneado'!$G$36</f>
        <v/>
      </c>
      <c r="D14" s="92" t="n">
        <v>1080</v>
      </c>
      <c r="E14" s="93">
        <f>C14*D14</f>
        <v/>
      </c>
      <c r="F14" s="85" t="inlineStr">
        <is>
          <t>GAMA</t>
        </is>
      </c>
      <c r="G14" s="85" t="inlineStr">
        <is>
          <t>Amasijo-Horneado</t>
        </is>
      </c>
    </row>
    <row r="15" ht="15" customHeight="1" s="55">
      <c r="A15" s="84" t="inlineStr">
        <is>
          <t>Margarina</t>
        </is>
      </c>
      <c r="B15" s="88" t="inlineStr">
        <is>
          <t>kg</t>
        </is>
      </c>
      <c r="C15" s="88">
        <f>'Amasijo-Horneado'!$G$37</f>
        <v/>
      </c>
      <c r="D15" s="92" t="n">
        <v>6170</v>
      </c>
      <c r="E15" s="93">
        <f>C15*D15</f>
        <v/>
      </c>
      <c r="F15" s="85" t="inlineStr">
        <is>
          <t>Cordobesa · ISCO Varisco</t>
        </is>
      </c>
      <c r="G15" s="85" t="inlineStr">
        <is>
          <t>Amasijo-Horneado</t>
        </is>
      </c>
    </row>
    <row r="16" ht="15" customHeight="1" s="55">
      <c r="A16" s="84" t="inlineStr">
        <is>
          <t>Maicena (Femag)</t>
        </is>
      </c>
      <c r="B16" s="88" t="inlineStr">
        <is>
          <t>kg</t>
        </is>
      </c>
      <c r="C16" s="88">
        <f>'Amasijo-Horneado'!$G$38</f>
        <v/>
      </c>
      <c r="D16" s="92" t="n">
        <v>1340</v>
      </c>
      <c r="E16" s="93">
        <f>C16*D16</f>
        <v/>
      </c>
      <c r="F16" s="85" t="inlineStr">
        <is>
          <t>Insupar</t>
        </is>
      </c>
      <c r="G16" s="85" t="inlineStr">
        <is>
          <t>Amasijo-Horneado</t>
        </is>
      </c>
    </row>
    <row r="17" ht="15" customHeight="1" s="55">
      <c r="A17" s="84" t="inlineStr">
        <is>
          <t>Harina 000</t>
        </is>
      </c>
      <c r="B17" s="88" t="inlineStr">
        <is>
          <t>kg</t>
        </is>
      </c>
      <c r="C17" s="88">
        <f>'Amasijo-Horneado'!$G$39</f>
        <v/>
      </c>
      <c r="D17" s="92" t="n">
        <v>740</v>
      </c>
      <c r="E17" s="93">
        <f>C17*D17</f>
        <v/>
      </c>
      <c r="F17" s="85" t="inlineStr">
        <is>
          <t>Estrella del Paraná · ISCO Varisco</t>
        </is>
      </c>
      <c r="G17" s="85" t="inlineStr">
        <is>
          <t>Amasijo-Horneado</t>
        </is>
      </c>
    </row>
    <row r="18" ht="15" customHeight="1" s="55">
      <c r="A18" s="84" t="inlineStr">
        <is>
          <t>Polvo de hornear</t>
        </is>
      </c>
      <c r="B18" s="88" t="inlineStr">
        <is>
          <t>g</t>
        </is>
      </c>
      <c r="C18" s="88">
        <f>'Amasijo-Horneado'!$G$40</f>
        <v/>
      </c>
      <c r="D18" s="92" t="n">
        <v>5.6</v>
      </c>
      <c r="E18" s="93">
        <f>C18*D18</f>
        <v/>
      </c>
      <c r="F18" s="85" t="inlineStr">
        <is>
          <t>Prindal · ISCO Varisco</t>
        </is>
      </c>
      <c r="G18" s="85" t="inlineStr">
        <is>
          <t>Amasijo-Horneado</t>
        </is>
      </c>
    </row>
    <row r="19" ht="15" customHeight="1" s="55">
      <c r="A19" s="84" t="inlineStr">
        <is>
          <t>Bicarbonato de sodio</t>
        </is>
      </c>
      <c r="B19" s="88" t="inlineStr">
        <is>
          <t>g</t>
        </is>
      </c>
      <c r="C19" s="88">
        <f>'Amasijo-Horneado'!$G$41</f>
        <v/>
      </c>
      <c r="D19" s="92" t="n">
        <v>6</v>
      </c>
      <c r="E19" s="93">
        <f>C19*D19</f>
        <v/>
      </c>
      <c r="F19" s="85" t="inlineStr">
        <is>
          <t>—</t>
        </is>
      </c>
      <c r="G19" s="85" t="inlineStr">
        <is>
          <t>Amasijo-Horneado</t>
        </is>
      </c>
    </row>
    <row r="20" ht="15" customHeight="1" s="55">
      <c r="A20" s="84" t="inlineStr">
        <is>
          <t>Esencia de manteca</t>
        </is>
      </c>
      <c r="B20" s="88" t="inlineStr">
        <is>
          <t>ml</t>
        </is>
      </c>
      <c r="C20" s="88">
        <f>'Amasijo-Horneado'!$G$42</f>
        <v/>
      </c>
      <c r="D20" s="92" t="n">
        <v>1.6</v>
      </c>
      <c r="E20" s="93">
        <f>C20*D20</f>
        <v/>
      </c>
      <c r="F20" s="85" t="inlineStr">
        <is>
          <t>—</t>
        </is>
      </c>
      <c r="G20" s="85" t="inlineStr">
        <is>
          <t>Amasijo-Horneado</t>
        </is>
      </c>
    </row>
    <row r="21" ht="15" customHeight="1" s="55">
      <c r="A21" s="84" t="inlineStr">
        <is>
          <t>Dulce de leche (La Colonias)</t>
        </is>
      </c>
      <c r="B21" s="88" t="inlineStr">
        <is>
          <t>kg</t>
        </is>
      </c>
      <c r="C21" s="88">
        <f>'Relleno-Glase'!$F$18</f>
        <v/>
      </c>
      <c r="D21" s="92" t="n">
        <v>2350</v>
      </c>
      <c r="E21" s="93">
        <f>C21*D21</f>
        <v/>
      </c>
      <c r="F21" s="85" t="inlineStr">
        <is>
          <t>La Colonias</t>
        </is>
      </c>
      <c r="G21" s="85" t="inlineStr">
        <is>
          <t>Relleno-Glase</t>
        </is>
      </c>
    </row>
    <row r="22" ht="15" customHeight="1" s="55">
      <c r="A22" s="84" t="inlineStr">
        <is>
          <t>Membrillo</t>
        </is>
      </c>
      <c r="B22" s="88" t="inlineStr">
        <is>
          <t>kg</t>
        </is>
      </c>
      <c r="C22" s="88">
        <f>'Relleno-Glase'!$F$19</f>
        <v/>
      </c>
      <c r="D22" s="92" t="n">
        <v>2200</v>
      </c>
      <c r="E22" s="93">
        <f>C22*D22</f>
        <v/>
      </c>
      <c r="F22" s="85" t="inlineStr">
        <is>
          <t>—</t>
        </is>
      </c>
      <c r="G22" s="85" t="inlineStr">
        <is>
          <t>Relleno-Glase</t>
        </is>
      </c>
    </row>
    <row r="23" ht="15" customHeight="1" s="55">
      <c r="A23" s="84" t="inlineStr">
        <is>
          <t>Coco rallado</t>
        </is>
      </c>
      <c r="B23" s="88" t="inlineStr">
        <is>
          <t>kg</t>
        </is>
      </c>
      <c r="C23" s="88">
        <f>'Relleno-Glase'!$F$20</f>
        <v/>
      </c>
      <c r="D23" s="92" t="n">
        <v>7200</v>
      </c>
      <c r="E23" s="93">
        <f>C23*D23</f>
        <v/>
      </c>
      <c r="F23" s="85" t="inlineStr">
        <is>
          <t>—</t>
        </is>
      </c>
      <c r="G23" s="85" t="inlineStr">
        <is>
          <t>Relleno-Glase</t>
        </is>
      </c>
    </row>
    <row r="24" ht="15" customHeight="1" s="55">
      <c r="A24" s="84" t="inlineStr">
        <is>
          <t>Dulce de batata</t>
        </is>
      </c>
      <c r="B24" s="88" t="inlineStr">
        <is>
          <t>kg</t>
        </is>
      </c>
      <c r="C24" s="88">
        <f>'Relleno-Glase'!$F$21</f>
        <v/>
      </c>
      <c r="D24" s="92" t="n">
        <v>2400</v>
      </c>
      <c r="E24" s="93">
        <f>C24*D24</f>
        <v/>
      </c>
      <c r="F24" s="85" t="inlineStr">
        <is>
          <t>Multiprocesadora</t>
        </is>
      </c>
      <c r="G24" s="85" t="inlineStr">
        <is>
          <t>Relleno-Glase</t>
        </is>
      </c>
    </row>
    <row r="25" ht="15" customHeight="1" s="55">
      <c r="A25" s="84" t="inlineStr">
        <is>
          <t>Mermelada de arándano</t>
        </is>
      </c>
      <c r="B25" s="88" t="inlineStr">
        <is>
          <t>kg</t>
        </is>
      </c>
      <c r="C25" s="88">
        <f>'Relleno-Glase'!$F$22</f>
        <v/>
      </c>
      <c r="D25" s="92" t="n">
        <v>6200</v>
      </c>
      <c r="E25" s="93">
        <f>C25*D25</f>
        <v/>
      </c>
      <c r="F25" s="85" t="inlineStr">
        <is>
          <t>—</t>
        </is>
      </c>
      <c r="G25" s="85" t="inlineStr">
        <is>
          <t>Relleno-Glase</t>
        </is>
      </c>
    </row>
    <row r="26" ht="15" customHeight="1" s="55">
      <c r="A26" s="84" t="inlineStr">
        <is>
          <t>Frutos del bosque</t>
        </is>
      </c>
      <c r="B26" s="88" t="inlineStr">
        <is>
          <t>kg</t>
        </is>
      </c>
      <c r="C26" s="88">
        <f>'Relleno-Glase'!$F$23</f>
        <v/>
      </c>
      <c r="D26" s="92" t="n">
        <v>10600</v>
      </c>
      <c r="E26" s="93">
        <f>C26*D26</f>
        <v/>
      </c>
      <c r="F26" s="85" t="inlineStr">
        <is>
          <t>🚨 insumo caro — margen casi cero</t>
        </is>
      </c>
      <c r="G26" s="85" t="inlineStr">
        <is>
          <t>Relleno-Glase</t>
        </is>
      </c>
    </row>
    <row r="27" ht="15" customHeight="1" s="55">
      <c r="A27" s="84" t="inlineStr">
        <is>
          <t>Azúcar impalpable</t>
        </is>
      </c>
      <c r="B27" s="88" t="inlineStr">
        <is>
          <t>kg</t>
        </is>
      </c>
      <c r="C27" s="88">
        <f>'Relleno-Glase'!$F$28</f>
        <v/>
      </c>
      <c r="D27" s="92" t="n">
        <v>1600</v>
      </c>
      <c r="E27" s="93">
        <f>C27*D27</f>
        <v/>
      </c>
      <c r="F27" s="85" t="inlineStr">
        <is>
          <t>—</t>
        </is>
      </c>
      <c r="G27" s="85" t="inlineStr">
        <is>
          <t>Relleno-Glase</t>
        </is>
      </c>
    </row>
    <row r="28" ht="15" customHeight="1" s="55">
      <c r="A28" s="84" t="inlineStr">
        <is>
          <t>Albúmina</t>
        </is>
      </c>
      <c r="B28" s="88" t="inlineStr">
        <is>
          <t>g</t>
        </is>
      </c>
      <c r="C28" s="88">
        <f>'Relleno-Glase'!$F$29</f>
        <v/>
      </c>
      <c r="D28" s="92" t="n">
        <v>60</v>
      </c>
      <c r="E28" s="93">
        <f>C28*D28</f>
        <v/>
      </c>
      <c r="F28" s="85" t="inlineStr">
        <is>
          <t>—</t>
        </is>
      </c>
      <c r="G28" s="85" t="inlineStr">
        <is>
          <t>Relleno-Glase</t>
        </is>
      </c>
    </row>
    <row r="29" ht="15" customHeight="1" s="55">
      <c r="A29" s="84" t="inlineStr">
        <is>
          <t>Glucosa</t>
        </is>
      </c>
      <c r="B29" s="88" t="inlineStr">
        <is>
          <t>g</t>
        </is>
      </c>
      <c r="C29" s="88">
        <f>'Relleno-Glase'!$F$30</f>
        <v/>
      </c>
      <c r="D29" s="92" t="n">
        <v>2.24</v>
      </c>
      <c r="E29" s="93">
        <f>C29*D29</f>
        <v/>
      </c>
      <c r="F29" s="85" t="inlineStr">
        <is>
          <t>—</t>
        </is>
      </c>
      <c r="G29" s="85" t="inlineStr">
        <is>
          <t>Relleno-Glase</t>
        </is>
      </c>
    </row>
    <row r="30" ht="15" customHeight="1" s="55">
      <c r="A30" s="84" t="inlineStr">
        <is>
          <t>Esencia de limón</t>
        </is>
      </c>
      <c r="B30" s="88" t="inlineStr">
        <is>
          <t>ml</t>
        </is>
      </c>
      <c r="C30" s="88">
        <f>'Relleno-Glase'!$F$31</f>
        <v/>
      </c>
      <c r="D30" s="92" t="n">
        <v>4</v>
      </c>
      <c r="E30" s="93">
        <f>C30*D30</f>
        <v/>
      </c>
      <c r="F30" s="85" t="inlineStr">
        <is>
          <t>—</t>
        </is>
      </c>
      <c r="G30" s="85" t="inlineStr">
        <is>
          <t>Relleno-Glase</t>
        </is>
      </c>
    </row>
    <row r="31" ht="15" customHeight="1" s="55">
      <c r="A31" s="84" t="inlineStr">
        <is>
          <t>Ácido acético</t>
        </is>
      </c>
      <c r="B31" s="88" t="inlineStr">
        <is>
          <t>ml</t>
        </is>
      </c>
      <c r="C31" s="88">
        <f>'Relleno-Glase'!$F$32</f>
        <v/>
      </c>
      <c r="D31" s="92" t="n">
        <v>6</v>
      </c>
      <c r="E31" s="93">
        <f>C31*D31</f>
        <v/>
      </c>
      <c r="F31" s="85" t="inlineStr">
        <is>
          <t>—</t>
        </is>
      </c>
      <c r="G31" s="85" t="inlineStr">
        <is>
          <t>Relleno-Glase</t>
        </is>
      </c>
    </row>
    <row r="32" ht="15" customHeight="1" s="55">
      <c r="A32" s="84" t="inlineStr">
        <is>
          <t>Bandeja plástica x7</t>
        </is>
      </c>
      <c r="B32" s="88" t="inlineStr">
        <is>
          <t>u</t>
        </is>
      </c>
      <c r="C32" s="88">
        <f>'Armado-Packaging'!$F$13</f>
        <v/>
      </c>
      <c r="D32" s="92" t="n">
        <v>67</v>
      </c>
      <c r="E32" s="93">
        <f>C32*D32</f>
        <v/>
      </c>
      <c r="F32" s="85" t="inlineStr">
        <is>
          <t>—</t>
        </is>
      </c>
      <c r="G32" s="85" t="inlineStr">
        <is>
          <t>Armado-Packaging</t>
        </is>
      </c>
    </row>
    <row r="33" ht="15" customHeight="1" s="55">
      <c r="A33" s="84" t="inlineStr">
        <is>
          <t>Bolsa impresa x7 (RNPA)</t>
        </is>
      </c>
      <c r="B33" s="88" t="inlineStr">
        <is>
          <t>u</t>
        </is>
      </c>
      <c r="C33" s="88">
        <f>'Armado-Packaging'!$F$14</f>
        <v/>
      </c>
      <c r="D33" s="92" t="n">
        <v>97.45999999999999</v>
      </c>
      <c r="E33" s="93">
        <f>C33*D33</f>
        <v/>
      </c>
      <c r="F33" s="85" t="inlineStr">
        <is>
          <t>Insupar</t>
        </is>
      </c>
      <c r="G33" s="85" t="inlineStr">
        <is>
          <t>Armado-Packaging</t>
        </is>
      </c>
    </row>
    <row r="34" ht="15" customHeight="1" s="55">
      <c r="A34" s="84" t="inlineStr">
        <is>
          <t>Caja x7</t>
        </is>
      </c>
      <c r="B34" s="88" t="inlineStr">
        <is>
          <t>u</t>
        </is>
      </c>
      <c r="C34" s="88">
        <f>'Armado-Packaging'!$F$15</f>
        <v/>
      </c>
      <c r="D34" s="92" t="n">
        <v>450</v>
      </c>
      <c r="E34" s="93">
        <f>C34*D34</f>
        <v/>
      </c>
      <c r="F34" s="85" t="inlineStr">
        <is>
          <t>—</t>
        </is>
      </c>
      <c r="G34" s="85" t="inlineStr">
        <is>
          <t>Armado-Packaging</t>
        </is>
      </c>
    </row>
    <row r="35" ht="15" customHeight="1" s="55">
      <c r="A35" s="84" t="inlineStr">
        <is>
          <t>Bandeja con tapa x14</t>
        </is>
      </c>
      <c r="B35" s="88" t="inlineStr">
        <is>
          <t>u</t>
        </is>
      </c>
      <c r="C35" s="88">
        <f>'Armado-Packaging'!$F$16</f>
        <v/>
      </c>
      <c r="D35" s="92" t="n">
        <v>346.67</v>
      </c>
      <c r="E35" s="93">
        <f>C35*D35</f>
        <v/>
      </c>
      <c r="F35" s="85" t="inlineStr">
        <is>
          <t>—</t>
        </is>
      </c>
      <c r="G35" s="85" t="inlineStr">
        <is>
          <t>Armado-Packaging</t>
        </is>
      </c>
    </row>
    <row r="36" ht="15" customHeight="1" s="55">
      <c r="A36" s="84" t="inlineStr">
        <is>
          <t>Etiqueta cierre x14</t>
        </is>
      </c>
      <c r="B36" s="88" t="inlineStr">
        <is>
          <t>u</t>
        </is>
      </c>
      <c r="C36" s="88">
        <f>'Armado-Packaging'!$F$17</f>
        <v/>
      </c>
      <c r="D36" s="92" t="n">
        <v>83.23999999999999</v>
      </c>
      <c r="E36" s="93">
        <f>C36*D36</f>
        <v/>
      </c>
      <c r="F36" s="85" t="inlineStr">
        <is>
          <t>Impresora etiquetas</t>
        </is>
      </c>
      <c r="G36" s="85" t="inlineStr">
        <is>
          <t>Armado-Packaging</t>
        </is>
      </c>
    </row>
    <row r="37" ht="15" customHeight="1" s="55">
      <c r="A37" s="84" t="inlineStr">
        <is>
          <t>Bandeja abierta 320g Pepas</t>
        </is>
      </c>
      <c r="B37" s="88" t="inlineStr">
        <is>
          <t>u</t>
        </is>
      </c>
      <c r="C37" s="88">
        <f>'Armado-Packaging'!$F$18</f>
        <v/>
      </c>
      <c r="D37" s="92" t="n">
        <v>410</v>
      </c>
      <c r="E37" s="93">
        <f>C37*D37</f>
        <v/>
      </c>
      <c r="F37" s="85" t="inlineStr">
        <is>
          <t>Fran Descartables</t>
        </is>
      </c>
      <c r="G37" s="85" t="inlineStr">
        <is>
          <t>Armado-Packaging</t>
        </is>
      </c>
    </row>
    <row r="38" ht="15" customHeight="1" s="55">
      <c r="A38" s="84" t="inlineStr">
        <is>
          <t>Etiqueta Pepas</t>
        </is>
      </c>
      <c r="B38" s="88" t="inlineStr">
        <is>
          <t>u</t>
        </is>
      </c>
      <c r="C38" s="88">
        <f>'Armado-Packaging'!$F$19</f>
        <v/>
      </c>
      <c r="D38" s="92" t="n">
        <v>85</v>
      </c>
      <c r="E38" s="93">
        <f>C38*D38</f>
        <v/>
      </c>
      <c r="F38" s="85" t="inlineStr">
        <is>
          <t>Cizalla</t>
        </is>
      </c>
      <c r="G38" s="85" t="inlineStr">
        <is>
          <t>Armado-Packaging</t>
        </is>
      </c>
    </row>
    <row r="39" ht="15" customHeight="1" s="55">
      <c r="A39" s="94" t="inlineStr">
        <is>
          <t>TOTAL ORDEN DE COMPRA</t>
        </is>
      </c>
      <c r="B39" s="95" t="n"/>
      <c r="C39" s="95" t="n"/>
      <c r="D39" s="96" t="n"/>
      <c r="E39" s="97">
        <f>SUM(E8:E38)</f>
        <v/>
      </c>
      <c r="F39" s="98" t="n"/>
      <c r="G39" s="98" t="n"/>
    </row>
    <row r="41">
      <c r="A41" s="119" t="inlineStr">
        <is>
          <t>REGISTRO DE RECEPCIONES — marcá acá cada vez que te llega un pedido de un proveedor</t>
        </is>
      </c>
    </row>
    <row r="42">
      <c r="A42" s="120" t="inlineStr">
        <is>
          <t>Fecha recibido</t>
        </is>
      </c>
      <c r="B42" s="120" t="inlineStr">
        <is>
          <t>Insumo</t>
        </is>
      </c>
      <c r="C42" s="120" t="inlineStr">
        <is>
          <t>Cantidad recibida</t>
        </is>
      </c>
      <c r="D42" s="120" t="inlineStr">
        <is>
          <t>Nota</t>
        </is>
      </c>
    </row>
    <row r="43">
      <c r="A43" s="114" t="n"/>
      <c r="B43" s="121" t="n"/>
      <c r="C43" s="115" t="n"/>
      <c r="D43" s="121" t="n"/>
      <c r="F43" s="54" t="inlineStr">
        <is>
          <t>Huevo</t>
        </is>
      </c>
    </row>
    <row r="44">
      <c r="A44" s="114" t="n"/>
      <c r="B44" s="121" t="n"/>
      <c r="C44" s="115" t="n"/>
      <c r="D44" s="121" t="n"/>
      <c r="F44" s="54" t="inlineStr">
        <is>
          <t>Vainilla</t>
        </is>
      </c>
    </row>
    <row r="45">
      <c r="A45" s="114" t="n"/>
      <c r="B45" s="121" t="n"/>
      <c r="C45" s="115" t="n"/>
      <c r="D45" s="121" t="n"/>
      <c r="F45" s="54" t="inlineStr">
        <is>
          <t>Colorante amarillo</t>
        </is>
      </c>
    </row>
    <row r="46">
      <c r="A46" s="114" t="n"/>
      <c r="B46" s="121" t="n"/>
      <c r="C46" s="115" t="n"/>
      <c r="D46" s="121" t="n"/>
      <c r="F46" s="54" t="inlineStr">
        <is>
          <t>Miel</t>
        </is>
      </c>
    </row>
    <row r="47">
      <c r="A47" s="114" t="n"/>
      <c r="B47" s="121" t="n"/>
      <c r="C47" s="115" t="n"/>
      <c r="D47" s="121" t="n"/>
      <c r="F47" s="54" t="inlineStr">
        <is>
          <t>Sorbato de potasio</t>
        </is>
      </c>
    </row>
    <row r="48">
      <c r="A48" s="114" t="n"/>
      <c r="B48" s="121" t="n"/>
      <c r="C48" s="115" t="n"/>
      <c r="D48" s="121" t="n"/>
      <c r="F48" s="54" t="inlineStr">
        <is>
          <t>Propionato de calcio</t>
        </is>
      </c>
    </row>
    <row r="49">
      <c r="A49" s="114" t="n"/>
      <c r="B49" s="121" t="n"/>
      <c r="C49" s="115" t="n"/>
      <c r="D49" s="121" t="n"/>
      <c r="F49" s="54" t="inlineStr">
        <is>
          <t>Azúcar</t>
        </is>
      </c>
    </row>
    <row r="50">
      <c r="A50" s="114" t="n"/>
      <c r="B50" s="121" t="n"/>
      <c r="C50" s="115" t="n"/>
      <c r="D50" s="121" t="n"/>
      <c r="F50" s="54" t="inlineStr">
        <is>
          <t>Margarina</t>
        </is>
      </c>
    </row>
    <row r="51">
      <c r="A51" s="114" t="n"/>
      <c r="B51" s="121" t="n"/>
      <c r="C51" s="115" t="n"/>
      <c r="D51" s="121" t="n"/>
      <c r="F51" s="54" t="inlineStr">
        <is>
          <t>Maicena (Femag)</t>
        </is>
      </c>
    </row>
    <row r="52">
      <c r="A52" s="114" t="n"/>
      <c r="B52" s="121" t="n"/>
      <c r="C52" s="115" t="n"/>
      <c r="D52" s="121" t="n"/>
      <c r="F52" s="54" t="inlineStr">
        <is>
          <t>Harina 000</t>
        </is>
      </c>
    </row>
    <row r="53">
      <c r="A53" s="114" t="n"/>
      <c r="B53" s="121" t="n"/>
      <c r="C53" s="115" t="n"/>
      <c r="D53" s="121" t="n"/>
      <c r="F53" s="54" t="inlineStr">
        <is>
          <t>Polvo de hornear</t>
        </is>
      </c>
    </row>
    <row r="54">
      <c r="A54" s="114" t="n"/>
      <c r="B54" s="121" t="n"/>
      <c r="C54" s="115" t="n"/>
      <c r="D54" s="121" t="n"/>
      <c r="F54" s="54" t="inlineStr">
        <is>
          <t>Bicarbonato de sodio</t>
        </is>
      </c>
    </row>
    <row r="55">
      <c r="A55" s="114" t="n"/>
      <c r="B55" s="121" t="n"/>
      <c r="C55" s="115" t="n"/>
      <c r="D55" s="121" t="n"/>
      <c r="F55" s="54" t="inlineStr">
        <is>
          <t>Esencia de manteca</t>
        </is>
      </c>
    </row>
    <row r="56">
      <c r="A56" s="114" t="n"/>
      <c r="B56" s="121" t="n"/>
      <c r="C56" s="115" t="n"/>
      <c r="D56" s="121" t="n"/>
      <c r="F56" s="54" t="inlineStr">
        <is>
          <t>Dulce de leche (La Colonias)</t>
        </is>
      </c>
    </row>
    <row r="57">
      <c r="A57" s="114" t="n"/>
      <c r="B57" s="121" t="n"/>
      <c r="C57" s="115" t="n"/>
      <c r="D57" s="121" t="n"/>
      <c r="F57" s="54" t="inlineStr">
        <is>
          <t>Membrillo</t>
        </is>
      </c>
    </row>
    <row r="58">
      <c r="A58" s="114" t="n"/>
      <c r="B58" s="121" t="n"/>
      <c r="C58" s="115" t="n"/>
      <c r="D58" s="121" t="n"/>
      <c r="F58" s="54" t="inlineStr">
        <is>
          <t>Coco rallado</t>
        </is>
      </c>
    </row>
    <row r="59">
      <c r="A59" s="114" t="n"/>
      <c r="B59" s="121" t="n"/>
      <c r="C59" s="115" t="n"/>
      <c r="D59" s="121" t="n"/>
      <c r="F59" s="54" t="inlineStr">
        <is>
          <t>Dulce de batata</t>
        </is>
      </c>
    </row>
    <row r="60">
      <c r="A60" s="114" t="n"/>
      <c r="B60" s="121" t="n"/>
      <c r="C60" s="115" t="n"/>
      <c r="D60" s="121" t="n"/>
      <c r="F60" s="54" t="inlineStr">
        <is>
          <t>Mermelada de arándano</t>
        </is>
      </c>
    </row>
    <row r="61">
      <c r="A61" s="114" t="n"/>
      <c r="B61" s="121" t="n"/>
      <c r="C61" s="115" t="n"/>
      <c r="D61" s="121" t="n"/>
      <c r="F61" s="54" t="inlineStr">
        <is>
          <t>Frutos del bosque</t>
        </is>
      </c>
    </row>
    <row r="62">
      <c r="A62" s="114" t="n"/>
      <c r="B62" s="121" t="n"/>
      <c r="C62" s="115" t="n"/>
      <c r="D62" s="121" t="n"/>
      <c r="F62" s="54" t="inlineStr">
        <is>
          <t>Azúcar impalpable</t>
        </is>
      </c>
    </row>
    <row r="63">
      <c r="A63" s="114" t="n"/>
      <c r="B63" s="121" t="n"/>
      <c r="C63" s="115" t="n"/>
      <c r="D63" s="121" t="n"/>
      <c r="F63" s="54" t="inlineStr">
        <is>
          <t>Albúmina</t>
        </is>
      </c>
    </row>
    <row r="64">
      <c r="A64" s="114" t="n"/>
      <c r="B64" s="121" t="n"/>
      <c r="C64" s="115" t="n"/>
      <c r="D64" s="121" t="n"/>
      <c r="F64" s="54" t="inlineStr">
        <is>
          <t>Glucosa</t>
        </is>
      </c>
    </row>
    <row r="65">
      <c r="A65" s="114" t="n"/>
      <c r="B65" s="121" t="n"/>
      <c r="C65" s="115" t="n"/>
      <c r="D65" s="121" t="n"/>
      <c r="F65" s="54" t="inlineStr">
        <is>
          <t>Esencia de limón</t>
        </is>
      </c>
    </row>
    <row r="66">
      <c r="A66" s="114" t="n"/>
      <c r="B66" s="121" t="n"/>
      <c r="C66" s="115" t="n"/>
      <c r="D66" s="121" t="n"/>
      <c r="F66" s="54" t="inlineStr">
        <is>
          <t>Ácido acético</t>
        </is>
      </c>
    </row>
    <row r="67">
      <c r="A67" s="114" t="n"/>
      <c r="B67" s="121" t="n"/>
      <c r="C67" s="115" t="n"/>
      <c r="D67" s="121" t="n"/>
      <c r="F67" s="54" t="inlineStr">
        <is>
          <t>Tapas malteadas (Don Jesús)</t>
        </is>
      </c>
    </row>
    <row r="68">
      <c r="A68" s="114" t="n"/>
      <c r="B68" s="121" t="n"/>
      <c r="C68" s="115" t="n"/>
      <c r="D68" s="121" t="n"/>
      <c r="F68" s="54" t="inlineStr">
        <is>
          <t>Bandeja plástica x7</t>
        </is>
      </c>
    </row>
    <row r="69">
      <c r="A69" s="114" t="n"/>
      <c r="B69" s="121" t="n"/>
      <c r="C69" s="115" t="n"/>
      <c r="D69" s="121" t="n"/>
      <c r="F69" s="54" t="inlineStr">
        <is>
          <t>Bolsa impresa x7 (RNPA)</t>
        </is>
      </c>
    </row>
    <row r="70">
      <c r="A70" s="114" t="n"/>
      <c r="B70" s="121" t="n"/>
      <c r="C70" s="115" t="n"/>
      <c r="D70" s="121" t="n"/>
      <c r="F70" s="54" t="inlineStr">
        <is>
          <t>Caja x7</t>
        </is>
      </c>
    </row>
    <row r="71">
      <c r="A71" s="114" t="n"/>
      <c r="B71" s="121" t="n"/>
      <c r="C71" s="115" t="n"/>
      <c r="D71" s="121" t="n"/>
      <c r="F71" s="54" t="inlineStr">
        <is>
          <t>Bandeja con tapa x14</t>
        </is>
      </c>
    </row>
    <row r="72">
      <c r="A72" s="114" t="n"/>
      <c r="B72" s="121" t="n"/>
      <c r="C72" s="115" t="n"/>
      <c r="D72" s="121" t="n"/>
      <c r="F72" s="54" t="inlineStr">
        <is>
          <t>Etiqueta cierre x14</t>
        </is>
      </c>
    </row>
    <row r="73">
      <c r="A73" s="114" t="n"/>
      <c r="B73" s="121" t="n"/>
      <c r="C73" s="115" t="n"/>
      <c r="D73" s="121" t="n"/>
      <c r="F73" s="54" t="inlineStr">
        <is>
          <t>Bandeja abierta 320g Pepas</t>
        </is>
      </c>
    </row>
    <row r="74">
      <c r="A74" s="114" t="n"/>
      <c r="B74" s="121" t="n"/>
      <c r="C74" s="115" t="n"/>
      <c r="D74" s="121" t="n"/>
      <c r="F74" s="54" t="inlineStr">
        <is>
          <t>Etiqueta Pepas</t>
        </is>
      </c>
    </row>
    <row r="75">
      <c r="A75" s="114" t="n"/>
      <c r="B75" s="121" t="n"/>
      <c r="C75" s="115" t="n"/>
      <c r="D75" s="121" t="n"/>
    </row>
    <row r="76">
      <c r="A76" s="114" t="n"/>
      <c r="B76" s="121" t="n"/>
      <c r="C76" s="115" t="n"/>
      <c r="D76" s="121" t="n"/>
    </row>
    <row r="77">
      <c r="A77" s="114" t="n"/>
      <c r="B77" s="121" t="n"/>
      <c r="C77" s="115" t="n"/>
      <c r="D77" s="121" t="n"/>
    </row>
    <row r="78">
      <c r="A78" s="114" t="n"/>
      <c r="B78" s="121" t="n"/>
      <c r="C78" s="115" t="n"/>
      <c r="D78" s="121" t="n"/>
    </row>
    <row r="79">
      <c r="A79" s="114" t="n"/>
      <c r="B79" s="121" t="n"/>
      <c r="C79" s="115" t="n"/>
      <c r="D79" s="121" t="n"/>
    </row>
    <row r="80">
      <c r="A80" s="114" t="n"/>
      <c r="B80" s="121" t="n"/>
      <c r="C80" s="115" t="n"/>
      <c r="D80" s="121" t="n"/>
    </row>
    <row r="81">
      <c r="A81" s="114" t="n"/>
      <c r="B81" s="121" t="n"/>
      <c r="C81" s="115" t="n"/>
      <c r="D81" s="121" t="n"/>
    </row>
    <row r="82">
      <c r="A82" s="114" t="n"/>
      <c r="B82" s="121" t="n"/>
      <c r="C82" s="115" t="n"/>
      <c r="D82" s="121" t="n"/>
    </row>
    <row r="83">
      <c r="A83" s="114" t="n"/>
      <c r="B83" s="121" t="n"/>
      <c r="C83" s="115" t="n"/>
      <c r="D83" s="121" t="n"/>
    </row>
    <row r="84">
      <c r="A84" s="114" t="n"/>
      <c r="B84" s="121" t="n"/>
      <c r="C84" s="115" t="n"/>
      <c r="D84" s="121" t="n"/>
    </row>
    <row r="85">
      <c r="A85" s="114" t="n"/>
      <c r="B85" s="121" t="n"/>
      <c r="C85" s="115" t="n"/>
      <c r="D85" s="121" t="n"/>
    </row>
    <row r="86">
      <c r="A86" s="114" t="n"/>
      <c r="B86" s="121" t="n"/>
      <c r="C86" s="115" t="n"/>
      <c r="D86" s="121" t="n"/>
    </row>
    <row r="87">
      <c r="A87" s="114" t="n"/>
      <c r="B87" s="121" t="n"/>
      <c r="C87" s="115" t="n"/>
      <c r="D87" s="121" t="n"/>
    </row>
    <row r="88">
      <c r="A88" s="114" t="n"/>
      <c r="B88" s="121" t="n"/>
      <c r="C88" s="115" t="n"/>
      <c r="D88" s="121" t="n"/>
    </row>
    <row r="89">
      <c r="A89" s="114" t="n"/>
      <c r="B89" s="121" t="n"/>
      <c r="C89" s="115" t="n"/>
      <c r="D89" s="121" t="n"/>
    </row>
    <row r="90">
      <c r="A90" s="114" t="n"/>
      <c r="B90" s="121" t="n"/>
      <c r="C90" s="115" t="n"/>
      <c r="D90" s="121" t="n"/>
    </row>
    <row r="91">
      <c r="A91" s="114" t="n"/>
      <c r="B91" s="121" t="n"/>
      <c r="C91" s="115" t="n"/>
      <c r="D91" s="121" t="n"/>
    </row>
    <row r="92">
      <c r="A92" s="114" t="n"/>
      <c r="B92" s="121" t="n"/>
      <c r="C92" s="115" t="n"/>
      <c r="D92" s="121" t="n"/>
    </row>
    <row r="93">
      <c r="A93" s="114" t="n"/>
      <c r="B93" s="121" t="n"/>
      <c r="C93" s="115" t="n"/>
      <c r="D93" s="121" t="n"/>
    </row>
    <row r="94">
      <c r="A94" s="114" t="n"/>
      <c r="B94" s="121" t="n"/>
      <c r="C94" s="115" t="n"/>
      <c r="D94" s="121" t="n"/>
    </row>
    <row r="95">
      <c r="A95" s="114" t="n"/>
      <c r="B95" s="121" t="n"/>
      <c r="C95" s="115" t="n"/>
      <c r="D95" s="121" t="n"/>
    </row>
    <row r="96">
      <c r="A96" s="114" t="n"/>
      <c r="B96" s="121" t="n"/>
      <c r="C96" s="115" t="n"/>
      <c r="D96" s="121" t="n"/>
    </row>
    <row r="97">
      <c r="A97" s="114" t="n"/>
      <c r="B97" s="121" t="n"/>
      <c r="C97" s="115" t="n"/>
      <c r="D97" s="121" t="n"/>
    </row>
    <row r="98">
      <c r="A98" s="114" t="n"/>
      <c r="B98" s="121" t="n"/>
      <c r="C98" s="115" t="n"/>
      <c r="D98" s="121" t="n"/>
    </row>
    <row r="99">
      <c r="A99" s="114" t="n"/>
      <c r="B99" s="121" t="n"/>
      <c r="C99" s="115" t="n"/>
      <c r="D99" s="121" t="n"/>
    </row>
    <row r="100">
      <c r="A100" s="114" t="n"/>
      <c r="B100" s="121" t="n"/>
      <c r="C100" s="115" t="n"/>
      <c r="D100" s="121" t="n"/>
    </row>
    <row r="101">
      <c r="A101" s="114" t="n"/>
      <c r="B101" s="121" t="n"/>
      <c r="C101" s="115" t="n"/>
      <c r="D101" s="121" t="n"/>
    </row>
    <row r="102">
      <c r="A102" s="114" t="n"/>
      <c r="B102" s="121" t="n"/>
      <c r="C102" s="115" t="n"/>
      <c r="D102" s="121" t="n"/>
    </row>
    <row r="103">
      <c r="A103" s="114" t="n"/>
      <c r="B103" s="121" t="n"/>
      <c r="C103" s="115" t="n"/>
      <c r="D103" s="121" t="n"/>
    </row>
    <row r="104">
      <c r="A104" s="114" t="n"/>
      <c r="B104" s="121" t="n"/>
      <c r="C104" s="115" t="n"/>
      <c r="D104" s="121" t="n"/>
    </row>
    <row r="105">
      <c r="A105" s="114" t="n"/>
      <c r="B105" s="121" t="n"/>
      <c r="C105" s="115" t="n"/>
      <c r="D105" s="121" t="n"/>
    </row>
    <row r="106">
      <c r="A106" s="114" t="n"/>
      <c r="B106" s="121" t="n"/>
      <c r="C106" s="115" t="n"/>
      <c r="D106" s="121" t="n"/>
    </row>
    <row r="107">
      <c r="A107" s="114" t="n"/>
      <c r="B107" s="121" t="n"/>
      <c r="C107" s="115" t="n"/>
      <c r="D107" s="121" t="n"/>
    </row>
    <row r="108">
      <c r="A108" s="114" t="n"/>
      <c r="B108" s="121" t="n"/>
      <c r="C108" s="115" t="n"/>
      <c r="D108" s="121" t="n"/>
    </row>
    <row r="109">
      <c r="A109" s="114" t="n"/>
      <c r="B109" s="121" t="n"/>
      <c r="C109" s="115" t="n"/>
      <c r="D109" s="121" t="n"/>
    </row>
    <row r="110">
      <c r="A110" s="114" t="n"/>
      <c r="B110" s="121" t="n"/>
      <c r="C110" s="115" t="n"/>
      <c r="D110" s="121" t="n"/>
    </row>
    <row r="111">
      <c r="A111" s="114" t="n"/>
      <c r="B111" s="121" t="n"/>
      <c r="C111" s="115" t="n"/>
      <c r="D111" s="121" t="n"/>
    </row>
    <row r="112">
      <c r="A112" s="114" t="n"/>
      <c r="B112" s="121" t="n"/>
      <c r="C112" s="115" t="n"/>
      <c r="D112" s="121" t="n"/>
    </row>
    <row r="113">
      <c r="A113" s="114" t="n"/>
      <c r="B113" s="121" t="n"/>
      <c r="C113" s="115" t="n"/>
      <c r="D113" s="121" t="n"/>
    </row>
    <row r="114">
      <c r="A114" s="114" t="n"/>
      <c r="B114" s="121" t="n"/>
      <c r="C114" s="115" t="n"/>
      <c r="D114" s="121" t="n"/>
    </row>
    <row r="115">
      <c r="A115" s="114" t="n"/>
      <c r="B115" s="121" t="n"/>
      <c r="C115" s="115" t="n"/>
      <c r="D115" s="121" t="n"/>
    </row>
    <row r="116">
      <c r="A116" s="114" t="n"/>
      <c r="B116" s="121" t="n"/>
      <c r="C116" s="115" t="n"/>
      <c r="D116" s="121" t="n"/>
    </row>
    <row r="117">
      <c r="A117" s="114" t="n"/>
      <c r="B117" s="121" t="n"/>
      <c r="C117" s="115" t="n"/>
      <c r="D117" s="121" t="n"/>
    </row>
    <row r="118">
      <c r="A118" s="114" t="n"/>
      <c r="B118" s="121" t="n"/>
      <c r="C118" s="115" t="n"/>
      <c r="D118" s="121" t="n"/>
    </row>
    <row r="119">
      <c r="A119" s="114" t="n"/>
      <c r="B119" s="121" t="n"/>
      <c r="C119" s="115" t="n"/>
      <c r="D119" s="121" t="n"/>
    </row>
    <row r="120">
      <c r="A120" s="114" t="n"/>
      <c r="B120" s="121" t="n"/>
      <c r="C120" s="115" t="n"/>
      <c r="D120" s="121" t="n"/>
    </row>
    <row r="121">
      <c r="A121" s="114" t="n"/>
      <c r="B121" s="121" t="n"/>
      <c r="C121" s="115" t="n"/>
      <c r="D121" s="121" t="n"/>
    </row>
    <row r="122">
      <c r="A122" s="114" t="n"/>
      <c r="B122" s="121" t="n"/>
      <c r="C122" s="115" t="n"/>
      <c r="D122" s="121" t="n"/>
    </row>
    <row r="123">
      <c r="A123" s="114" t="n"/>
      <c r="B123" s="121" t="n"/>
      <c r="C123" s="115" t="n"/>
      <c r="D123" s="121" t="n"/>
    </row>
    <row r="124">
      <c r="A124" s="114" t="n"/>
      <c r="B124" s="121" t="n"/>
      <c r="C124" s="115" t="n"/>
      <c r="D124" s="121" t="n"/>
    </row>
    <row r="125">
      <c r="A125" s="114" t="n"/>
      <c r="B125" s="121" t="n"/>
      <c r="C125" s="115" t="n"/>
      <c r="D125" s="121" t="n"/>
    </row>
    <row r="126">
      <c r="A126" s="114" t="n"/>
      <c r="B126" s="121" t="n"/>
      <c r="C126" s="115" t="n"/>
      <c r="D126" s="121" t="n"/>
    </row>
    <row r="127">
      <c r="A127" s="114" t="n"/>
      <c r="B127" s="121" t="n"/>
      <c r="C127" s="115" t="n"/>
      <c r="D127" s="121" t="n"/>
    </row>
    <row r="128">
      <c r="A128" s="114" t="n"/>
      <c r="B128" s="121" t="n"/>
      <c r="C128" s="115" t="n"/>
      <c r="D128" s="121" t="n"/>
    </row>
    <row r="129">
      <c r="A129" s="114" t="n"/>
      <c r="B129" s="121" t="n"/>
      <c r="C129" s="115" t="n"/>
      <c r="D129" s="121" t="n"/>
    </row>
    <row r="130">
      <c r="A130" s="114" t="n"/>
      <c r="B130" s="121" t="n"/>
      <c r="C130" s="115" t="n"/>
      <c r="D130" s="121" t="n"/>
    </row>
    <row r="131">
      <c r="A131" s="114" t="n"/>
      <c r="B131" s="121" t="n"/>
      <c r="C131" s="115" t="n"/>
      <c r="D131" s="121" t="n"/>
    </row>
    <row r="132">
      <c r="A132" s="114" t="n"/>
      <c r="B132" s="121" t="n"/>
      <c r="C132" s="115" t="n"/>
      <c r="D132" s="121" t="n"/>
    </row>
    <row r="133">
      <c r="A133" s="114" t="n"/>
      <c r="B133" s="121" t="n"/>
      <c r="C133" s="115" t="n"/>
      <c r="D133" s="121" t="n"/>
    </row>
    <row r="134">
      <c r="A134" s="114" t="n"/>
      <c r="B134" s="121" t="n"/>
      <c r="C134" s="115" t="n"/>
      <c r="D134" s="121" t="n"/>
    </row>
    <row r="135">
      <c r="A135" s="114" t="n"/>
      <c r="B135" s="121" t="n"/>
      <c r="C135" s="115" t="n"/>
      <c r="D135" s="121" t="n"/>
    </row>
    <row r="136">
      <c r="A136" s="114" t="n"/>
      <c r="B136" s="121" t="n"/>
      <c r="C136" s="115" t="n"/>
      <c r="D136" s="121" t="n"/>
    </row>
    <row r="137">
      <c r="A137" s="114" t="n"/>
      <c r="B137" s="121" t="n"/>
      <c r="C137" s="115" t="n"/>
      <c r="D137" s="121" t="n"/>
    </row>
    <row r="138">
      <c r="A138" s="114" t="n"/>
      <c r="B138" s="121" t="n"/>
      <c r="C138" s="115" t="n"/>
      <c r="D138" s="121" t="n"/>
    </row>
    <row r="139">
      <c r="A139" s="114" t="n"/>
      <c r="B139" s="121" t="n"/>
      <c r="C139" s="115" t="n"/>
      <c r="D139" s="121" t="n"/>
    </row>
    <row r="140">
      <c r="A140" s="114" t="n"/>
      <c r="B140" s="121" t="n"/>
      <c r="C140" s="115" t="n"/>
      <c r="D140" s="121" t="n"/>
    </row>
    <row r="141">
      <c r="A141" s="114" t="n"/>
      <c r="B141" s="121" t="n"/>
      <c r="C141" s="115" t="n"/>
      <c r="D141" s="121" t="n"/>
    </row>
    <row r="142">
      <c r="A142" s="114" t="n"/>
      <c r="B142" s="121" t="n"/>
      <c r="C142" s="115" t="n"/>
      <c r="D142" s="121" t="n"/>
    </row>
    <row r="143">
      <c r="A143" s="114" t="n"/>
      <c r="B143" s="121" t="n"/>
      <c r="C143" s="115" t="n"/>
      <c r="D143" s="121" t="n"/>
    </row>
    <row r="144">
      <c r="A144" s="114" t="n"/>
      <c r="B144" s="121" t="n"/>
      <c r="C144" s="115" t="n"/>
      <c r="D144" s="121" t="n"/>
    </row>
    <row r="145">
      <c r="A145" s="114" t="n"/>
      <c r="B145" s="121" t="n"/>
      <c r="C145" s="115" t="n"/>
      <c r="D145" s="121" t="n"/>
    </row>
    <row r="146">
      <c r="A146" s="114" t="n"/>
      <c r="B146" s="121" t="n"/>
      <c r="C146" s="115" t="n"/>
      <c r="D146" s="121" t="n"/>
    </row>
    <row r="147">
      <c r="A147" s="114" t="n"/>
      <c r="B147" s="121" t="n"/>
      <c r="C147" s="115" t="n"/>
      <c r="D147" s="121" t="n"/>
    </row>
    <row r="148">
      <c r="A148" s="114" t="n"/>
      <c r="B148" s="121" t="n"/>
      <c r="C148" s="115" t="n"/>
      <c r="D148" s="121" t="n"/>
    </row>
    <row r="149">
      <c r="A149" s="114" t="n"/>
      <c r="B149" s="121" t="n"/>
      <c r="C149" s="115" t="n"/>
      <c r="D149" s="121" t="n"/>
    </row>
    <row r="150">
      <c r="A150" s="114" t="n"/>
      <c r="B150" s="121" t="n"/>
      <c r="C150" s="115" t="n"/>
      <c r="D150" s="121" t="n"/>
    </row>
    <row r="151">
      <c r="A151" s="114" t="n"/>
      <c r="B151" s="121" t="n"/>
      <c r="C151" s="115" t="n"/>
      <c r="D151" s="121" t="n"/>
    </row>
    <row r="152">
      <c r="A152" s="114" t="n"/>
      <c r="B152" s="121" t="n"/>
      <c r="C152" s="115" t="n"/>
      <c r="D152" s="121" t="n"/>
    </row>
    <row r="153">
      <c r="A153" s="114" t="n"/>
      <c r="B153" s="121" t="n"/>
      <c r="C153" s="115" t="n"/>
      <c r="D153" s="121" t="n"/>
    </row>
    <row r="154">
      <c r="A154" s="114" t="n"/>
      <c r="B154" s="121" t="n"/>
      <c r="C154" s="115" t="n"/>
      <c r="D154" s="121" t="n"/>
    </row>
    <row r="155">
      <c r="A155" s="114" t="n"/>
      <c r="B155" s="121" t="n"/>
      <c r="C155" s="115" t="n"/>
      <c r="D155" s="121" t="n"/>
    </row>
    <row r="156">
      <c r="A156" s="114" t="n"/>
      <c r="B156" s="121" t="n"/>
      <c r="C156" s="115" t="n"/>
      <c r="D156" s="121" t="n"/>
    </row>
    <row r="157">
      <c r="A157" s="114" t="n"/>
      <c r="B157" s="121" t="n"/>
      <c r="C157" s="115" t="n"/>
      <c r="D157" s="121" t="n"/>
    </row>
    <row r="158">
      <c r="A158" s="114" t="n"/>
      <c r="B158" s="121" t="n"/>
      <c r="C158" s="115" t="n"/>
      <c r="D158" s="121" t="n"/>
    </row>
    <row r="159">
      <c r="A159" s="114" t="n"/>
      <c r="B159" s="121" t="n"/>
      <c r="C159" s="115" t="n"/>
      <c r="D159" s="121" t="n"/>
    </row>
    <row r="160">
      <c r="A160" s="114" t="n"/>
      <c r="B160" s="121" t="n"/>
      <c r="C160" s="115" t="n"/>
      <c r="D160" s="121" t="n"/>
    </row>
    <row r="161">
      <c r="A161" s="114" t="n"/>
      <c r="B161" s="121" t="n"/>
      <c r="C161" s="115" t="n"/>
      <c r="D161" s="121" t="n"/>
    </row>
    <row r="162">
      <c r="A162" s="114" t="n"/>
      <c r="B162" s="121" t="n"/>
      <c r="C162" s="115" t="n"/>
      <c r="D162" s="121" t="n"/>
    </row>
    <row r="163">
      <c r="A163" s="114" t="n"/>
      <c r="B163" s="121" t="n"/>
      <c r="C163" s="115" t="n"/>
      <c r="D163" s="121" t="n"/>
    </row>
    <row r="164">
      <c r="A164" s="114" t="n"/>
      <c r="B164" s="121" t="n"/>
      <c r="C164" s="115" t="n"/>
      <c r="D164" s="121" t="n"/>
    </row>
    <row r="165">
      <c r="A165" s="114" t="n"/>
      <c r="B165" s="121" t="n"/>
      <c r="C165" s="115" t="n"/>
      <c r="D165" s="121" t="n"/>
    </row>
    <row r="166">
      <c r="A166" s="114" t="n"/>
      <c r="B166" s="121" t="n"/>
      <c r="C166" s="115" t="n"/>
      <c r="D166" s="121" t="n"/>
    </row>
    <row r="167">
      <c r="A167" s="114" t="n"/>
      <c r="B167" s="121" t="n"/>
      <c r="C167" s="115" t="n"/>
      <c r="D167" s="121" t="n"/>
    </row>
    <row r="168">
      <c r="A168" s="114" t="n"/>
      <c r="B168" s="121" t="n"/>
      <c r="C168" s="115" t="n"/>
      <c r="D168" s="121" t="n"/>
    </row>
    <row r="169">
      <c r="A169" s="114" t="n"/>
      <c r="B169" s="121" t="n"/>
      <c r="C169" s="115" t="n"/>
      <c r="D169" s="121" t="n"/>
    </row>
    <row r="170">
      <c r="A170" s="114" t="n"/>
      <c r="B170" s="121" t="n"/>
      <c r="C170" s="115" t="n"/>
      <c r="D170" s="121" t="n"/>
    </row>
    <row r="171">
      <c r="A171" s="114" t="n"/>
      <c r="B171" s="121" t="n"/>
      <c r="C171" s="115" t="n"/>
      <c r="D171" s="121" t="n"/>
    </row>
    <row r="172">
      <c r="A172" s="114" t="n"/>
      <c r="B172" s="121" t="n"/>
      <c r="C172" s="115" t="n"/>
      <c r="D172" s="121" t="n"/>
    </row>
    <row r="173">
      <c r="A173" s="114" t="n"/>
      <c r="B173" s="121" t="n"/>
      <c r="C173" s="115" t="n"/>
      <c r="D173" s="121" t="n"/>
    </row>
    <row r="174">
      <c r="A174" s="114" t="n"/>
      <c r="B174" s="121" t="n"/>
      <c r="C174" s="115" t="n"/>
      <c r="D174" s="121" t="n"/>
    </row>
    <row r="175">
      <c r="A175" s="114" t="n"/>
      <c r="B175" s="121" t="n"/>
      <c r="C175" s="115" t="n"/>
      <c r="D175" s="121" t="n"/>
    </row>
    <row r="176">
      <c r="A176" s="114" t="n"/>
      <c r="B176" s="121" t="n"/>
      <c r="C176" s="115" t="n"/>
      <c r="D176" s="121" t="n"/>
    </row>
    <row r="177">
      <c r="A177" s="114" t="n"/>
      <c r="B177" s="121" t="n"/>
      <c r="C177" s="115" t="n"/>
      <c r="D177" s="121" t="n"/>
    </row>
    <row r="178">
      <c r="A178" s="114" t="n"/>
      <c r="B178" s="121" t="n"/>
      <c r="C178" s="115" t="n"/>
      <c r="D178" s="121" t="n"/>
    </row>
    <row r="179">
      <c r="A179" s="114" t="n"/>
      <c r="B179" s="121" t="n"/>
      <c r="C179" s="115" t="n"/>
      <c r="D179" s="121" t="n"/>
    </row>
    <row r="180">
      <c r="A180" s="114" t="n"/>
      <c r="B180" s="121" t="n"/>
      <c r="C180" s="115" t="n"/>
      <c r="D180" s="121" t="n"/>
    </row>
    <row r="181">
      <c r="A181" s="114" t="n"/>
      <c r="B181" s="121" t="n"/>
      <c r="C181" s="115" t="n"/>
      <c r="D181" s="121" t="n"/>
    </row>
    <row r="182">
      <c r="A182" s="114" t="n"/>
      <c r="B182" s="121" t="n"/>
      <c r="C182" s="115" t="n"/>
      <c r="D182" s="121" t="n"/>
    </row>
    <row r="183">
      <c r="A183" s="114" t="n"/>
      <c r="B183" s="121" t="n"/>
      <c r="C183" s="115" t="n"/>
      <c r="D183" s="121" t="n"/>
    </row>
    <row r="184">
      <c r="A184" s="114" t="n"/>
      <c r="B184" s="121" t="n"/>
      <c r="C184" s="115" t="n"/>
      <c r="D184" s="121" t="n"/>
    </row>
    <row r="185">
      <c r="A185" s="114" t="n"/>
      <c r="B185" s="121" t="n"/>
      <c r="C185" s="115" t="n"/>
      <c r="D185" s="121" t="n"/>
    </row>
    <row r="186">
      <c r="A186" s="114" t="n"/>
      <c r="B186" s="121" t="n"/>
      <c r="C186" s="115" t="n"/>
      <c r="D186" s="121" t="n"/>
    </row>
    <row r="187">
      <c r="A187" s="114" t="n"/>
      <c r="B187" s="121" t="n"/>
      <c r="C187" s="115" t="n"/>
      <c r="D187" s="121" t="n"/>
    </row>
    <row r="188">
      <c r="A188" s="114" t="n"/>
      <c r="B188" s="121" t="n"/>
      <c r="C188" s="115" t="n"/>
      <c r="D188" s="121" t="n"/>
    </row>
    <row r="189">
      <c r="A189" s="114" t="n"/>
      <c r="B189" s="121" t="n"/>
      <c r="C189" s="115" t="n"/>
      <c r="D189" s="121" t="n"/>
    </row>
    <row r="190">
      <c r="A190" s="114" t="n"/>
      <c r="B190" s="121" t="n"/>
      <c r="C190" s="115" t="n"/>
      <c r="D190" s="121" t="n"/>
    </row>
    <row r="191">
      <c r="A191" s="114" t="n"/>
      <c r="B191" s="121" t="n"/>
      <c r="C191" s="115" t="n"/>
      <c r="D191" s="121" t="n"/>
    </row>
    <row r="192">
      <c r="A192" s="114" t="n"/>
      <c r="B192" s="121" t="n"/>
      <c r="C192" s="115" t="n"/>
      <c r="D192" s="121" t="n"/>
    </row>
    <row r="193">
      <c r="A193" s="114" t="n"/>
      <c r="B193" s="121" t="n"/>
      <c r="C193" s="115" t="n"/>
      <c r="D193" s="121" t="n"/>
    </row>
    <row r="194">
      <c r="A194" s="114" t="n"/>
      <c r="B194" s="121" t="n"/>
      <c r="C194" s="115" t="n"/>
      <c r="D194" s="121" t="n"/>
    </row>
    <row r="195">
      <c r="A195" s="114" t="n"/>
      <c r="B195" s="121" t="n"/>
      <c r="C195" s="115" t="n"/>
      <c r="D195" s="121" t="n"/>
    </row>
    <row r="196">
      <c r="A196" s="114" t="n"/>
      <c r="B196" s="121" t="n"/>
      <c r="C196" s="115" t="n"/>
      <c r="D196" s="121" t="n"/>
    </row>
    <row r="197">
      <c r="A197" s="114" t="n"/>
      <c r="B197" s="121" t="n"/>
      <c r="C197" s="115" t="n"/>
      <c r="D197" s="121" t="n"/>
    </row>
    <row r="198">
      <c r="A198" s="114" t="n"/>
      <c r="B198" s="121" t="n"/>
      <c r="C198" s="115" t="n"/>
      <c r="D198" s="121" t="n"/>
    </row>
    <row r="199">
      <c r="A199" s="114" t="n"/>
      <c r="B199" s="121" t="n"/>
      <c r="C199" s="115" t="n"/>
      <c r="D199" s="121" t="n"/>
    </row>
    <row r="200">
      <c r="A200" s="114" t="n"/>
      <c r="B200" s="121" t="n"/>
      <c r="C200" s="115" t="n"/>
      <c r="D200" s="121" t="n"/>
    </row>
    <row r="201">
      <c r="A201" s="114" t="n"/>
      <c r="B201" s="121" t="n"/>
      <c r="C201" s="115" t="n"/>
      <c r="D201" s="121" t="n"/>
    </row>
    <row r="202">
      <c r="A202" s="114" t="n"/>
      <c r="B202" s="121" t="n"/>
      <c r="C202" s="115" t="n"/>
      <c r="D202" s="121" t="n"/>
    </row>
    <row r="203">
      <c r="A203" s="114" t="n"/>
      <c r="B203" s="121" t="n"/>
      <c r="C203" s="115" t="n"/>
      <c r="D203" s="121" t="n"/>
    </row>
    <row r="204">
      <c r="A204" s="114" t="n"/>
      <c r="B204" s="121" t="n"/>
      <c r="C204" s="115" t="n"/>
      <c r="D204" s="121" t="n"/>
    </row>
    <row r="205">
      <c r="A205" s="114" t="n"/>
      <c r="B205" s="121" t="n"/>
      <c r="C205" s="115" t="n"/>
      <c r="D205" s="121" t="n"/>
    </row>
    <row r="206">
      <c r="A206" s="114" t="n"/>
      <c r="B206" s="121" t="n"/>
      <c r="C206" s="115" t="n"/>
      <c r="D206" s="121" t="n"/>
    </row>
    <row r="207">
      <c r="A207" s="114" t="n"/>
      <c r="B207" s="121" t="n"/>
      <c r="C207" s="115" t="n"/>
      <c r="D207" s="121" t="n"/>
    </row>
    <row r="208">
      <c r="A208" s="114" t="n"/>
      <c r="B208" s="121" t="n"/>
      <c r="C208" s="115" t="n"/>
      <c r="D208" s="121" t="n"/>
    </row>
    <row r="209">
      <c r="A209" s="114" t="n"/>
      <c r="B209" s="121" t="n"/>
      <c r="C209" s="115" t="n"/>
      <c r="D209" s="121" t="n"/>
    </row>
    <row r="210">
      <c r="A210" s="114" t="n"/>
      <c r="B210" s="121" t="n"/>
      <c r="C210" s="115" t="n"/>
      <c r="D210" s="121" t="n"/>
    </row>
    <row r="211">
      <c r="A211" s="114" t="n"/>
      <c r="B211" s="121" t="n"/>
      <c r="C211" s="115" t="n"/>
      <c r="D211" s="121" t="n"/>
    </row>
    <row r="212">
      <c r="A212" s="114" t="n"/>
      <c r="B212" s="121" t="n"/>
      <c r="C212" s="115" t="n"/>
      <c r="D212" s="121" t="n"/>
    </row>
    <row r="213">
      <c r="A213" s="114" t="n"/>
      <c r="B213" s="121" t="n"/>
      <c r="C213" s="115" t="n"/>
      <c r="D213" s="121" t="n"/>
    </row>
    <row r="214">
      <c r="A214" s="114" t="n"/>
      <c r="B214" s="121" t="n"/>
      <c r="C214" s="115" t="n"/>
      <c r="D214" s="121" t="n"/>
    </row>
    <row r="215">
      <c r="A215" s="114" t="n"/>
      <c r="B215" s="121" t="n"/>
      <c r="C215" s="115" t="n"/>
      <c r="D215" s="121" t="n"/>
    </row>
    <row r="216">
      <c r="A216" s="114" t="n"/>
      <c r="B216" s="121" t="n"/>
      <c r="C216" s="115" t="n"/>
      <c r="D216" s="121" t="n"/>
    </row>
    <row r="217">
      <c r="A217" s="114" t="n"/>
      <c r="B217" s="121" t="n"/>
      <c r="C217" s="115" t="n"/>
      <c r="D217" s="121" t="n"/>
    </row>
    <row r="218">
      <c r="A218" s="114" t="n"/>
      <c r="B218" s="121" t="n"/>
      <c r="C218" s="115" t="n"/>
      <c r="D218" s="121" t="n"/>
    </row>
    <row r="219">
      <c r="A219" s="114" t="n"/>
      <c r="B219" s="121" t="n"/>
      <c r="C219" s="115" t="n"/>
      <c r="D219" s="121" t="n"/>
    </row>
    <row r="220">
      <c r="A220" s="114" t="n"/>
      <c r="B220" s="121" t="n"/>
      <c r="C220" s="115" t="n"/>
      <c r="D220" s="121" t="n"/>
    </row>
    <row r="221">
      <c r="A221" s="114" t="n"/>
      <c r="B221" s="121" t="n"/>
      <c r="C221" s="115" t="n"/>
      <c r="D221" s="121" t="n"/>
    </row>
    <row r="222">
      <c r="A222" s="114" t="n"/>
      <c r="B222" s="121" t="n"/>
      <c r="C222" s="115" t="n"/>
      <c r="D222" s="121" t="n"/>
    </row>
    <row r="223">
      <c r="A223" s="114" t="n"/>
      <c r="B223" s="121" t="n"/>
      <c r="C223" s="115" t="n"/>
      <c r="D223" s="121" t="n"/>
    </row>
    <row r="224">
      <c r="A224" s="114" t="n"/>
      <c r="B224" s="121" t="n"/>
      <c r="C224" s="115" t="n"/>
      <c r="D224" s="121" t="n"/>
    </row>
    <row r="225">
      <c r="A225" s="114" t="n"/>
      <c r="B225" s="121" t="n"/>
      <c r="C225" s="115" t="n"/>
      <c r="D225" s="121" t="n"/>
    </row>
    <row r="226">
      <c r="A226" s="114" t="n"/>
      <c r="B226" s="121" t="n"/>
      <c r="C226" s="115" t="n"/>
      <c r="D226" s="121" t="n"/>
    </row>
    <row r="227">
      <c r="A227" s="114" t="n"/>
      <c r="B227" s="121" t="n"/>
      <c r="C227" s="115" t="n"/>
      <c r="D227" s="121" t="n"/>
    </row>
    <row r="228">
      <c r="A228" s="114" t="n"/>
      <c r="B228" s="121" t="n"/>
      <c r="C228" s="115" t="n"/>
      <c r="D228" s="121" t="n"/>
    </row>
    <row r="229">
      <c r="A229" s="114" t="n"/>
      <c r="B229" s="121" t="n"/>
      <c r="C229" s="115" t="n"/>
      <c r="D229" s="121" t="n"/>
    </row>
    <row r="230">
      <c r="A230" s="114" t="n"/>
      <c r="B230" s="121" t="n"/>
      <c r="C230" s="115" t="n"/>
      <c r="D230" s="121" t="n"/>
    </row>
    <row r="231">
      <c r="A231" s="114" t="n"/>
      <c r="B231" s="121" t="n"/>
      <c r="C231" s="115" t="n"/>
      <c r="D231" s="121" t="n"/>
    </row>
    <row r="232">
      <c r="A232" s="114" t="n"/>
      <c r="B232" s="121" t="n"/>
      <c r="C232" s="115" t="n"/>
      <c r="D232" s="121" t="n"/>
    </row>
    <row r="233">
      <c r="A233" s="114" t="n"/>
      <c r="B233" s="121" t="n"/>
      <c r="C233" s="115" t="n"/>
      <c r="D233" s="121" t="n"/>
    </row>
    <row r="234">
      <c r="A234" s="114" t="n"/>
      <c r="B234" s="121" t="n"/>
      <c r="C234" s="115" t="n"/>
      <c r="D234" s="121" t="n"/>
    </row>
    <row r="235">
      <c r="A235" s="114" t="n"/>
      <c r="B235" s="121" t="n"/>
      <c r="C235" s="115" t="n"/>
      <c r="D235" s="121" t="n"/>
    </row>
    <row r="236">
      <c r="A236" s="114" t="n"/>
      <c r="B236" s="121" t="n"/>
      <c r="C236" s="115" t="n"/>
      <c r="D236" s="121" t="n"/>
    </row>
    <row r="237">
      <c r="A237" s="114" t="n"/>
      <c r="B237" s="121" t="n"/>
      <c r="C237" s="115" t="n"/>
      <c r="D237" s="121" t="n"/>
    </row>
    <row r="238">
      <c r="A238" s="114" t="n"/>
      <c r="B238" s="121" t="n"/>
      <c r="C238" s="115" t="n"/>
      <c r="D238" s="121" t="n"/>
    </row>
    <row r="239">
      <c r="A239" s="114" t="n"/>
      <c r="B239" s="121" t="n"/>
      <c r="C239" s="115" t="n"/>
      <c r="D239" s="121" t="n"/>
    </row>
    <row r="240">
      <c r="A240" s="114" t="n"/>
      <c r="B240" s="121" t="n"/>
      <c r="C240" s="115" t="n"/>
      <c r="D240" s="121" t="n"/>
    </row>
    <row r="241">
      <c r="A241" s="114" t="n"/>
      <c r="B241" s="121" t="n"/>
      <c r="C241" s="115" t="n"/>
      <c r="D241" s="121" t="n"/>
    </row>
    <row r="242">
      <c r="A242" s="114" t="n"/>
      <c r="B242" s="121" t="n"/>
      <c r="C242" s="115" t="n"/>
      <c r="D242" s="121" t="n"/>
    </row>
  </sheetData>
  <mergeCells count="5">
    <mergeCell ref="A1:G1"/>
    <mergeCell ref="A6:G6"/>
    <mergeCell ref="A39:D39"/>
    <mergeCell ref="A2:G2"/>
    <mergeCell ref="A41:D41"/>
  </mergeCells>
  <dataValidations count="1">
    <dataValidation sqref="B43:B242" showDropDown="0" showInputMessage="0" showErrorMessage="0" allowBlank="1" type="list">
      <formula1>=$F$43:$F$74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54" min="1" max="1"/>
    <col width="22" customWidth="1" style="54" min="2" max="3"/>
    <col width="14" customWidth="1" style="54" min="4" max="4"/>
    <col width="30" customWidth="1" style="54" min="5" max="5"/>
  </cols>
  <sheetData>
    <row r="1" ht="25.5" customHeight="1" s="55">
      <c r="A1" s="56" t="inlineStr">
        <is>
          <t>CONFIG — LISTA DE PRECIOS · NUESTRO ALFAJOR</t>
        </is>
      </c>
    </row>
    <row r="2" ht="15" customHeight="1" s="55">
      <c r="A2" s="79" t="inlineStr">
        <is>
          <t>Fecha de corte de precios</t>
        </is>
      </c>
      <c r="B2" s="99" t="n">
        <v>46204</v>
      </c>
    </row>
    <row r="4" ht="15" customHeight="1" s="55">
      <c r="A4" s="64" t="inlineStr">
        <is>
          <t>Producto</t>
        </is>
      </c>
      <c r="B4" s="64">
        <f>" Precio hasta "&amp;TEXT(B2-1,"DD/MM/YYYY")</f>
        <v/>
      </c>
      <c r="C4" s="64">
        <f>"Precio desde "&amp;TEXT(B2,"DD/MM/YYYY")</f>
        <v/>
      </c>
      <c r="D4" s="64" t="inlineStr">
        <is>
          <t>Unidad</t>
        </is>
      </c>
    </row>
    <row r="5" ht="15" customHeight="1" s="55">
      <c r="A5" s="84" t="inlineStr">
        <is>
          <t>Maicena x7</t>
        </is>
      </c>
      <c r="B5" s="100" t="n">
        <v>2500</v>
      </c>
      <c r="C5" s="100" t="n">
        <v>2500</v>
      </c>
      <c r="D5" s="84" t="inlineStr">
        <is>
          <t>paquete x7</t>
        </is>
      </c>
    </row>
    <row r="6" ht="15" customHeight="1" s="55">
      <c r="A6" s="84" t="inlineStr">
        <is>
          <t>Frutal x7</t>
        </is>
      </c>
      <c r="B6" s="100" t="n">
        <v>2500</v>
      </c>
      <c r="C6" s="100" t="n">
        <v>2500</v>
      </c>
      <c r="D6" s="84" t="inlineStr">
        <is>
          <t>paquete x7</t>
        </is>
      </c>
    </row>
    <row r="7" ht="15" customHeight="1" s="55">
      <c r="A7" s="84" t="inlineStr">
        <is>
          <t>Santafesino x7</t>
        </is>
      </c>
      <c r="B7" s="100" t="n">
        <v>2500</v>
      </c>
      <c r="C7" s="100" t="n">
        <v>2500</v>
      </c>
      <c r="D7" s="84" t="inlineStr">
        <is>
          <t>paquete x7</t>
        </is>
      </c>
    </row>
    <row r="8" ht="15" customHeight="1" s="55">
      <c r="A8" s="84" t="inlineStr">
        <is>
          <t>Maicena x14</t>
        </is>
      </c>
      <c r="B8" s="100" t="n">
        <v>4700</v>
      </c>
      <c r="C8" s="100" t="n">
        <v>5000</v>
      </c>
      <c r="D8" s="84" t="inlineStr">
        <is>
          <t>paquete x14</t>
        </is>
      </c>
    </row>
    <row r="9" ht="15" customHeight="1" s="55">
      <c r="A9" s="84" t="inlineStr">
        <is>
          <t>Pepas (bandeja 18u)</t>
        </is>
      </c>
      <c r="B9" s="100" t="n">
        <v>2500</v>
      </c>
      <c r="C9" s="100" t="n">
        <v>2600</v>
      </c>
      <c r="D9" s="84" t="inlineStr">
        <is>
          <t>bandeja</t>
        </is>
      </c>
    </row>
    <row r="11" ht="15" customHeight="1" s="55">
      <c r="A11" s="71" t="inlineStr">
        <is>
          <t>Notas: fila 5 (Maicena x7) fija el precio x7 para Maicena/Frutal/Santafesino (mismo precio para las 3 líneas).</t>
        </is>
      </c>
    </row>
    <row r="13" ht="15" customHeight="1" s="55">
      <c r="A13" s="79" t="inlineStr">
        <is>
          <t>CLIENTES (histórico mayo 2026 — se puede escribir uno nuevo)</t>
        </is>
      </c>
      <c r="E13" s="71" t="inlineStr">
        <is>
          <t>Lista combinada para el desplegable (no tocar)</t>
        </is>
      </c>
    </row>
    <row r="14" ht="15" customHeight="1" s="55">
      <c r="A14" s="81" t="inlineStr">
        <is>
          <t>Amelia (Esc. Milagrosa)</t>
        </is>
      </c>
      <c r="E14" s="101">
        <f>A14</f>
        <v/>
      </c>
    </row>
    <row r="15" ht="15" customHeight="1" s="55">
      <c r="A15" s="81" t="inlineStr">
        <is>
          <t>Amparo Maternal</t>
        </is>
      </c>
      <c r="E15" s="101">
        <f>A15</f>
        <v/>
      </c>
    </row>
    <row r="16" ht="15" customHeight="1" s="55">
      <c r="A16" s="81" t="inlineStr">
        <is>
          <t>Graciela (Esc. Alvear Nogoyá)</t>
        </is>
      </c>
      <c r="E16" s="101">
        <f>A16</f>
        <v/>
      </c>
    </row>
    <row r="17" ht="15" customHeight="1" s="55">
      <c r="A17" s="81" t="inlineStr">
        <is>
          <t>Vicky (Esc. Oro Verde)</t>
        </is>
      </c>
      <c r="E17" s="101">
        <f>A17</f>
        <v/>
      </c>
    </row>
    <row r="18" ht="15" customHeight="1" s="55">
      <c r="A18" s="81" t="inlineStr">
        <is>
          <t>Gabriela Colmonez (Esc. Strobel)</t>
        </is>
      </c>
      <c r="E18" s="101">
        <f>A18</f>
        <v/>
      </c>
    </row>
    <row r="19" ht="15" customHeight="1" s="55">
      <c r="A19" s="81" t="inlineStr">
        <is>
          <t>Oscar (Cerrito)</t>
        </is>
      </c>
      <c r="E19" s="101">
        <f>A19</f>
        <v/>
      </c>
    </row>
    <row r="20" ht="15" customHeight="1" s="55">
      <c r="A20" s="81" t="inlineStr">
        <is>
          <t>Agustín (Esc. Col. Avellaneda)</t>
        </is>
      </c>
      <c r="E20" s="101">
        <f>A20</f>
        <v/>
      </c>
    </row>
    <row r="21" ht="15" customHeight="1" s="55">
      <c r="A21" s="81" t="inlineStr">
        <is>
          <t>Ileana (Club Ciclista)</t>
        </is>
      </c>
      <c r="E21" s="101">
        <f>A21</f>
        <v/>
      </c>
    </row>
    <row r="22" ht="15" customHeight="1" s="55">
      <c r="A22" s="81" t="inlineStr">
        <is>
          <t>Belén Mendieta (J. Oro Verde)</t>
        </is>
      </c>
      <c r="E22" s="101">
        <f>A22</f>
        <v/>
      </c>
    </row>
    <row r="23" ht="15" customHeight="1" s="55">
      <c r="A23" s="81" t="inlineStr">
        <is>
          <t>Yanina Dechallzi</t>
        </is>
      </c>
      <c r="E23" s="101">
        <f>A23</f>
        <v/>
      </c>
    </row>
    <row r="24" ht="15" customHeight="1" s="55">
      <c r="A24" s="81" t="inlineStr">
        <is>
          <t>Pastor Diego (Rafaela)</t>
        </is>
      </c>
      <c r="E24" s="101">
        <f>A24</f>
        <v/>
      </c>
    </row>
    <row r="25" ht="15" customHeight="1" s="55">
      <c r="A25" s="81" t="inlineStr">
        <is>
          <t>Sandra Fischer</t>
        </is>
      </c>
      <c r="E25" s="101">
        <f>A25</f>
        <v/>
      </c>
    </row>
    <row r="26" ht="15" customHeight="1" s="55">
      <c r="A26" s="81" t="inlineStr">
        <is>
          <t>Marcelo (Club Seguí)</t>
        </is>
      </c>
      <c r="E26" s="101">
        <f>A26</f>
        <v/>
      </c>
    </row>
    <row r="27" ht="15" customHeight="1" s="55">
      <c r="A27" s="81" t="inlineStr">
        <is>
          <t>Nadia (Esc. Mañasco)</t>
        </is>
      </c>
      <c r="E27" s="101">
        <f>A27</f>
        <v/>
      </c>
    </row>
    <row r="28" ht="15" customHeight="1" s="55">
      <c r="A28" s="81" t="inlineStr">
        <is>
          <t>Escuela Hogar</t>
        </is>
      </c>
      <c r="E28" s="101">
        <f>A28</f>
        <v/>
      </c>
    </row>
    <row r="29" ht="15" customHeight="1" s="55">
      <c r="A29" s="81" t="inlineStr">
        <is>
          <t>Angi (Esc. Centenario)</t>
        </is>
      </c>
      <c r="E29" s="101">
        <f>A29</f>
        <v/>
      </c>
    </row>
    <row r="30" ht="15" customHeight="1" s="55">
      <c r="A30" s="81" t="inlineStr">
        <is>
          <t>Cristian (el Beto)</t>
        </is>
      </c>
      <c r="E30" s="101">
        <f>A30</f>
        <v/>
      </c>
    </row>
    <row r="31" ht="15" customHeight="1" s="55">
      <c r="A31" s="81" t="inlineStr">
        <is>
          <t>Elizabeth Comar</t>
        </is>
      </c>
      <c r="E31" s="101">
        <f>A31</f>
        <v/>
      </c>
    </row>
    <row r="32" ht="15" customHeight="1" s="55">
      <c r="A32" s="81" t="inlineStr">
        <is>
          <t>Paula (San Benito)</t>
        </is>
      </c>
      <c r="E32" s="101">
        <f>A32</f>
        <v/>
      </c>
    </row>
    <row r="33" ht="15" customHeight="1" s="55">
      <c r="A33" s="81" t="inlineStr">
        <is>
          <t>Diamela</t>
        </is>
      </c>
      <c r="E33" s="101">
        <f>A33</f>
        <v/>
      </c>
    </row>
    <row r="34" ht="15" customHeight="1" s="55">
      <c r="A34" s="81" t="inlineStr">
        <is>
          <t>Hugo (Lafedar)</t>
        </is>
      </c>
      <c r="E34" s="101">
        <f>A34</f>
        <v/>
      </c>
    </row>
    <row r="35" ht="15" customHeight="1" s="55">
      <c r="A35" s="81" t="inlineStr">
        <is>
          <t>Andrea Hockey Rowing</t>
        </is>
      </c>
      <c r="E35" s="101">
        <f>A35</f>
        <v/>
      </c>
    </row>
    <row r="36" ht="15" customHeight="1" s="55">
      <c r="A36" s="81" t="inlineStr">
        <is>
          <t>Tiziana</t>
        </is>
      </c>
      <c r="E36" s="101">
        <f>A36</f>
        <v/>
      </c>
    </row>
    <row r="37" ht="15" customHeight="1" s="55">
      <c r="A37" s="81" t="inlineStr">
        <is>
          <t>Carolina Godoy</t>
        </is>
      </c>
      <c r="E37" s="101">
        <f>A37</f>
        <v/>
      </c>
    </row>
    <row r="38" ht="15" customHeight="1" s="55">
      <c r="A38" s="81" t="inlineStr">
        <is>
          <t>Flavia Aragón</t>
        </is>
      </c>
      <c r="E38" s="101">
        <f>A38</f>
        <v/>
      </c>
    </row>
    <row r="39" ht="15" customHeight="1" s="55">
      <c r="A39" s="81" t="inlineStr">
        <is>
          <t>Nahir Ruge</t>
        </is>
      </c>
      <c r="E39" s="101">
        <f>A39</f>
        <v/>
      </c>
    </row>
    <row r="40" ht="15" customHeight="1" s="55">
      <c r="A40" s="81" t="inlineStr">
        <is>
          <t>Gabriela Rubiolo</t>
        </is>
      </c>
      <c r="E40" s="101">
        <f>A40</f>
        <v/>
      </c>
    </row>
    <row r="41" ht="15" customHeight="1" s="55">
      <c r="A41" s="81" t="inlineStr">
        <is>
          <t>Julieta Beron</t>
        </is>
      </c>
      <c r="E41" s="101">
        <f>A41</f>
        <v/>
      </c>
    </row>
    <row r="42" ht="15" customHeight="1" s="55">
      <c r="A42" s="81" t="inlineStr">
        <is>
          <t>Cristina (el Beto)</t>
        </is>
      </c>
      <c r="E42" s="101">
        <f>A42</f>
        <v/>
      </c>
    </row>
    <row r="43" ht="15" customHeight="1" s="55">
      <c r="A43" s="81" t="inlineStr">
        <is>
          <t>Veronica Solioz (L. San Martín)</t>
        </is>
      </c>
      <c r="E43" s="101">
        <f>A43</f>
        <v/>
      </c>
    </row>
    <row r="44" ht="15" customHeight="1" s="55">
      <c r="A44" s="81" t="inlineStr">
        <is>
          <t>Agus Copelloti</t>
        </is>
      </c>
      <c r="E44" s="101">
        <f>A44</f>
        <v/>
      </c>
    </row>
    <row r="45" ht="15" customHeight="1" s="55">
      <c r="A45" s="81" t="inlineStr">
        <is>
          <t>Camila Urrutia</t>
        </is>
      </c>
      <c r="E45" s="101">
        <f>A45</f>
        <v/>
      </c>
    </row>
    <row r="46" ht="15" customHeight="1" s="55">
      <c r="A46" s="81" t="inlineStr">
        <is>
          <t>Keila</t>
        </is>
      </c>
      <c r="E46" s="101">
        <f>A46</f>
        <v/>
      </c>
    </row>
    <row r="47" ht="15" customHeight="1" s="55">
      <c r="A47" s="81" t="inlineStr">
        <is>
          <t>Mia Scarpa</t>
        </is>
      </c>
      <c r="E47" s="101">
        <f>A47</f>
        <v/>
      </c>
    </row>
    <row r="48" ht="15" customHeight="1" s="55">
      <c r="A48" s="81" t="inlineStr">
        <is>
          <t>Fiorela</t>
        </is>
      </c>
      <c r="E48" s="101">
        <f>A48</f>
        <v/>
      </c>
    </row>
    <row r="49" ht="15" customHeight="1" s="55">
      <c r="A49" s="81" t="inlineStr">
        <is>
          <t>Solcito Flores</t>
        </is>
      </c>
      <c r="E49" s="101">
        <f>A49</f>
        <v/>
      </c>
    </row>
    <row r="50" ht="15" customHeight="1" s="55">
      <c r="A50" s="81" t="inlineStr">
        <is>
          <t>Guadalupe Villanueva</t>
        </is>
      </c>
      <c r="E50" s="101">
        <f>A50</f>
        <v/>
      </c>
    </row>
    <row r="51" ht="15" customHeight="1" s="55">
      <c r="A51" s="81" t="inlineStr">
        <is>
          <t>Romina Bordou</t>
        </is>
      </c>
      <c r="E51" s="101">
        <f>A51</f>
        <v/>
      </c>
    </row>
    <row r="52" ht="15" customHeight="1" s="55">
      <c r="A52" s="81" t="inlineStr">
        <is>
          <t>Gerardo Cano</t>
        </is>
      </c>
      <c r="E52" s="101">
        <f>A52</f>
        <v/>
      </c>
    </row>
    <row r="53" ht="15" customHeight="1" s="55">
      <c r="A53" s="81" t="inlineStr">
        <is>
          <t>Fabián Jhouston</t>
        </is>
      </c>
      <c r="E53" s="101">
        <f>A53</f>
        <v/>
      </c>
    </row>
    <row r="54" ht="15" customHeight="1" s="55">
      <c r="A54" s="81" t="inlineStr">
        <is>
          <t>Lu (hija Ma. José)</t>
        </is>
      </c>
      <c r="E54" s="101">
        <f>A54</f>
        <v/>
      </c>
    </row>
    <row r="55" ht="15" customHeight="1" s="55">
      <c r="A55" s="81" t="inlineStr">
        <is>
          <t>Tortuguita</t>
        </is>
      </c>
      <c r="E55" s="101">
        <f>A55</f>
        <v/>
      </c>
    </row>
    <row r="56" ht="15" customHeight="1" s="55">
      <c r="A56" s="81" t="inlineStr">
        <is>
          <t>Andrés Britos</t>
        </is>
      </c>
      <c r="E56" s="101">
        <f>A56</f>
        <v/>
      </c>
    </row>
    <row r="57" ht="15" customHeight="1" s="55">
      <c r="A57" s="81" t="inlineStr">
        <is>
          <t>Noralli Orellanos</t>
        </is>
      </c>
      <c r="E57" s="101">
        <f>A57</f>
        <v/>
      </c>
    </row>
    <row r="58" ht="15" customHeight="1" s="55">
      <c r="A58" s="81" t="inlineStr">
        <is>
          <t>Coseza</t>
        </is>
      </c>
      <c r="E58" s="101">
        <f>A58</f>
        <v/>
      </c>
    </row>
    <row r="59" ht="15" customHeight="1" s="55">
      <c r="A59" s="81" t="inlineStr">
        <is>
          <t>Eugenia</t>
        </is>
      </c>
      <c r="E59" s="101">
        <f>A59</f>
        <v/>
      </c>
    </row>
    <row r="60" ht="15" customHeight="1" s="55">
      <c r="A60" s="81" t="inlineStr">
        <is>
          <t>Araceli UD</t>
        </is>
      </c>
      <c r="E60" s="101">
        <f>A60</f>
        <v/>
      </c>
    </row>
    <row r="61" ht="15" customHeight="1" s="55">
      <c r="A61" s="81" t="inlineStr">
        <is>
          <t>Paula Reynoso</t>
        </is>
      </c>
      <c r="E61" s="101">
        <f>A61</f>
        <v/>
      </c>
    </row>
    <row r="62" ht="15" customHeight="1" s="55">
      <c r="A62" s="81" t="inlineStr">
        <is>
          <t>Elena Tell</t>
        </is>
      </c>
      <c r="E62" s="101">
        <f>A62</f>
        <v/>
      </c>
    </row>
    <row r="63" ht="15" customHeight="1" s="55">
      <c r="A63" s="81" t="inlineStr">
        <is>
          <t>Jimena Lezcano</t>
        </is>
      </c>
      <c r="E63" s="101">
        <f>A63</f>
        <v/>
      </c>
    </row>
    <row r="64" ht="15" customHeight="1" s="55">
      <c r="A64" s="81" t="inlineStr">
        <is>
          <t>Rogelio Ariza</t>
        </is>
      </c>
      <c r="E64" s="101">
        <f>A64</f>
        <v/>
      </c>
    </row>
    <row r="65" ht="15" customHeight="1" s="55">
      <c r="A65" s="81" t="inlineStr">
        <is>
          <t>Crespo</t>
        </is>
      </c>
      <c r="E65" s="101">
        <f>A65</f>
        <v/>
      </c>
    </row>
    <row r="66" ht="15" customHeight="1" s="55">
      <c r="E66" s="101">
        <f>IF(Pedidos!D5="","",Pedidos!D5)</f>
        <v/>
      </c>
    </row>
    <row r="67" ht="15" customHeight="1" s="55">
      <c r="E67" s="101">
        <f>IF(Pedidos!D6="","",Pedidos!D6)</f>
        <v/>
      </c>
    </row>
    <row r="68" ht="15" customHeight="1" s="55">
      <c r="E68" s="101">
        <f>IF(Pedidos!D7="","",Pedidos!D7)</f>
        <v/>
      </c>
    </row>
    <row r="69" ht="15" customHeight="1" s="55">
      <c r="E69" s="101">
        <f>IF(Pedidos!D8="","",Pedidos!D8)</f>
        <v/>
      </c>
    </row>
    <row r="70" ht="15" customHeight="1" s="55">
      <c r="E70" s="101">
        <f>IF(Pedidos!D9="","",Pedidos!D9)</f>
        <v/>
      </c>
    </row>
    <row r="71" ht="15" customHeight="1" s="55">
      <c r="E71" s="101">
        <f>IF(Pedidos!D10="","",Pedidos!D10)</f>
        <v/>
      </c>
    </row>
    <row r="72" ht="15" customHeight="1" s="55">
      <c r="E72" s="101">
        <f>IF(Pedidos!D11="","",Pedidos!D11)</f>
        <v/>
      </c>
    </row>
    <row r="73" ht="15" customHeight="1" s="55">
      <c r="E73" s="101">
        <f>IF(Pedidos!D12="","",Pedidos!D12)</f>
        <v/>
      </c>
    </row>
    <row r="74" ht="15" customHeight="1" s="55">
      <c r="E74" s="101">
        <f>IF(Pedidos!D13="","",Pedidos!D13)</f>
        <v/>
      </c>
    </row>
    <row r="75" ht="15" customHeight="1" s="55">
      <c r="E75" s="101">
        <f>IF(Pedidos!D14="","",Pedidos!D14)</f>
        <v/>
      </c>
    </row>
    <row r="76" ht="15" customHeight="1" s="55">
      <c r="E76" s="101">
        <f>IF(Pedidos!D15="","",Pedidos!D15)</f>
        <v/>
      </c>
    </row>
    <row r="77" ht="15" customHeight="1" s="55">
      <c r="E77" s="101">
        <f>IF(Pedidos!D16="","",Pedidos!D16)</f>
        <v/>
      </c>
    </row>
    <row r="78" ht="15" customHeight="1" s="55">
      <c r="E78" s="101">
        <f>IF(Pedidos!D17="","",Pedidos!D17)</f>
        <v/>
      </c>
    </row>
    <row r="79" ht="15" customHeight="1" s="55">
      <c r="E79" s="101">
        <f>IF(Pedidos!D18="","",Pedidos!D18)</f>
        <v/>
      </c>
    </row>
    <row r="80" ht="15" customHeight="1" s="55">
      <c r="E80" s="101">
        <f>IF(Pedidos!D19="","",Pedidos!D19)</f>
        <v/>
      </c>
    </row>
    <row r="81" ht="15" customHeight="1" s="55">
      <c r="E81" s="101">
        <f>IF(Pedidos!D20="","",Pedidos!D20)</f>
        <v/>
      </c>
    </row>
    <row r="82" ht="15" customHeight="1" s="55">
      <c r="E82" s="101">
        <f>IF(Pedidos!D21="","",Pedidos!D21)</f>
        <v/>
      </c>
    </row>
    <row r="83" ht="15" customHeight="1" s="55">
      <c r="E83" s="101">
        <f>IF(Pedidos!D22="","",Pedidos!D22)</f>
        <v/>
      </c>
    </row>
    <row r="84" ht="15" customHeight="1" s="55">
      <c r="E84" s="101">
        <f>IF(Pedidos!D23="","",Pedidos!D23)</f>
        <v/>
      </c>
    </row>
    <row r="85" ht="15" customHeight="1" s="55">
      <c r="E85" s="101">
        <f>IF(Pedidos!D24="","",Pedidos!D24)</f>
        <v/>
      </c>
    </row>
    <row r="86" ht="15" customHeight="1" s="55">
      <c r="E86" s="101">
        <f>IF(Pedidos!D25="","",Pedidos!D25)</f>
        <v/>
      </c>
    </row>
    <row r="87" ht="15" customHeight="1" s="55">
      <c r="E87" s="101">
        <f>IF(Pedidos!D26="","",Pedidos!D26)</f>
        <v/>
      </c>
    </row>
    <row r="88" ht="15" customHeight="1" s="55">
      <c r="E88" s="101">
        <f>IF(Pedidos!D27="","",Pedidos!D27)</f>
        <v/>
      </c>
    </row>
    <row r="89" ht="15" customHeight="1" s="55">
      <c r="E89" s="101">
        <f>IF(Pedidos!D28="","",Pedidos!D28)</f>
        <v/>
      </c>
    </row>
    <row r="90" ht="15" customHeight="1" s="55">
      <c r="E90" s="101">
        <f>IF(Pedidos!D29="","",Pedidos!D29)</f>
        <v/>
      </c>
    </row>
    <row r="91" ht="15" customHeight="1" s="55">
      <c r="E91" s="101">
        <f>IF(Pedidos!D30="","",Pedidos!D30)</f>
        <v/>
      </c>
    </row>
    <row r="92" ht="15" customHeight="1" s="55">
      <c r="E92" s="101">
        <f>IF(Pedidos!D31="","",Pedidos!D31)</f>
        <v/>
      </c>
    </row>
    <row r="93" ht="15" customHeight="1" s="55">
      <c r="E93" s="101">
        <f>IF(Pedidos!D32="","",Pedidos!D32)</f>
        <v/>
      </c>
    </row>
    <row r="94" ht="15" customHeight="1" s="55">
      <c r="E94" s="101">
        <f>IF(Pedidos!D33="","",Pedidos!D33)</f>
        <v/>
      </c>
    </row>
    <row r="95" ht="15" customHeight="1" s="55">
      <c r="E95" s="101">
        <f>IF(Pedidos!D34="","",Pedidos!D34)</f>
        <v/>
      </c>
    </row>
    <row r="96" ht="15" customHeight="1" s="55">
      <c r="E96" s="101">
        <f>IF(Pedidos!D35="","",Pedidos!D35)</f>
        <v/>
      </c>
    </row>
    <row r="97" ht="15" customHeight="1" s="55">
      <c r="E97" s="101">
        <f>IF(Pedidos!D36="","",Pedidos!D36)</f>
        <v/>
      </c>
    </row>
    <row r="98" ht="15" customHeight="1" s="55">
      <c r="E98" s="101">
        <f>IF(Pedidos!D37="","",Pedidos!D37)</f>
        <v/>
      </c>
    </row>
    <row r="99" ht="15" customHeight="1" s="55">
      <c r="E99" s="101">
        <f>IF(Pedidos!D38="","",Pedidos!D38)</f>
        <v/>
      </c>
    </row>
    <row r="100" ht="15" customHeight="1" s="55">
      <c r="E100" s="101">
        <f>IF(Pedidos!D39="","",Pedidos!D39)</f>
        <v/>
      </c>
    </row>
    <row r="101" ht="15" customHeight="1" s="55">
      <c r="E101" s="101">
        <f>IF(Pedidos!D40="","",Pedidos!D40)</f>
        <v/>
      </c>
    </row>
    <row r="102" ht="15" customHeight="1" s="55">
      <c r="E102" s="101">
        <f>IF(Pedidos!D41="","",Pedidos!D41)</f>
        <v/>
      </c>
    </row>
    <row r="103" ht="15" customHeight="1" s="55">
      <c r="E103" s="101">
        <f>IF(Pedidos!D42="","",Pedidos!D42)</f>
        <v/>
      </c>
    </row>
    <row r="104" ht="15" customHeight="1" s="55">
      <c r="E104" s="101">
        <f>IF(Pedidos!D43="","",Pedidos!D43)</f>
        <v/>
      </c>
    </row>
    <row r="105" ht="15" customHeight="1" s="55">
      <c r="E105" s="101">
        <f>IF(Pedidos!D44="","",Pedidos!D44)</f>
        <v/>
      </c>
    </row>
    <row r="106" ht="15" customHeight="1" s="55">
      <c r="E106" s="101">
        <f>IF(Pedidos!D45="","",Pedidos!D45)</f>
        <v/>
      </c>
    </row>
    <row r="107" ht="15" customHeight="1" s="55">
      <c r="E107" s="101">
        <f>IF(Pedidos!D46="","",Pedidos!D46)</f>
        <v/>
      </c>
    </row>
    <row r="108" ht="15" customHeight="1" s="55">
      <c r="E108" s="101">
        <f>IF(Pedidos!D47="","",Pedidos!D47)</f>
        <v/>
      </c>
    </row>
    <row r="109" ht="15" customHeight="1" s="55">
      <c r="E109" s="101">
        <f>IF(Pedidos!D48="","",Pedidos!D48)</f>
        <v/>
      </c>
    </row>
    <row r="110" ht="15" customHeight="1" s="55">
      <c r="E110" s="101">
        <f>IF(Pedidos!D49="","",Pedidos!D49)</f>
        <v/>
      </c>
    </row>
    <row r="111" ht="15" customHeight="1" s="55">
      <c r="E111" s="101">
        <f>IF(Pedidos!D50="","",Pedidos!D50)</f>
        <v/>
      </c>
    </row>
    <row r="112" ht="15" customHeight="1" s="55">
      <c r="E112" s="101">
        <f>IF(Pedidos!D51="","",Pedidos!D51)</f>
        <v/>
      </c>
    </row>
    <row r="113" ht="15" customHeight="1" s="55">
      <c r="E113" s="101">
        <f>IF(Pedidos!D52="","",Pedidos!D52)</f>
        <v/>
      </c>
    </row>
    <row r="114" ht="15" customHeight="1" s="55">
      <c r="E114" s="101">
        <f>IF(Pedidos!D53="","",Pedidos!D53)</f>
        <v/>
      </c>
    </row>
    <row r="115" ht="15" customHeight="1" s="55">
      <c r="E115" s="101">
        <f>IF(Pedidos!D54="","",Pedidos!D54)</f>
        <v/>
      </c>
    </row>
    <row r="116" ht="15" customHeight="1" s="55">
      <c r="E116" s="101">
        <f>IF(Pedidos!D55="","",Pedidos!D55)</f>
        <v/>
      </c>
    </row>
    <row r="117" ht="15" customHeight="1" s="55">
      <c r="E117" s="101">
        <f>IF(Pedidos!D56="","",Pedidos!D56)</f>
        <v/>
      </c>
    </row>
    <row r="118" ht="15" customHeight="1" s="55">
      <c r="E118" s="101">
        <f>IF(Pedidos!D57="","",Pedidos!D57)</f>
        <v/>
      </c>
    </row>
    <row r="119" ht="15" customHeight="1" s="55">
      <c r="E119" s="101">
        <f>IF(Pedidos!D58="","",Pedidos!D58)</f>
        <v/>
      </c>
    </row>
    <row r="120" ht="15" customHeight="1" s="55">
      <c r="E120" s="101">
        <f>IF(Pedidos!D59="","",Pedidos!D59)</f>
        <v/>
      </c>
    </row>
    <row r="121" ht="15" customHeight="1" s="55">
      <c r="E121" s="101">
        <f>IF(Pedidos!D60="","",Pedidos!D60)</f>
        <v/>
      </c>
    </row>
    <row r="122" ht="15" customHeight="1" s="55">
      <c r="E122" s="101">
        <f>IF(Pedidos!D61="","",Pedidos!D61)</f>
        <v/>
      </c>
    </row>
    <row r="123" ht="15" customHeight="1" s="55">
      <c r="E123" s="101">
        <f>IF(Pedidos!D62="","",Pedidos!D62)</f>
        <v/>
      </c>
    </row>
    <row r="124" ht="15" customHeight="1" s="55">
      <c r="E124" s="101">
        <f>IF(Pedidos!D63="","",Pedidos!D63)</f>
        <v/>
      </c>
    </row>
    <row r="125" ht="15" customHeight="1" s="55">
      <c r="E125" s="101">
        <f>IF(Pedidos!D64="","",Pedidos!D64)</f>
        <v/>
      </c>
    </row>
    <row r="126" ht="15" customHeight="1" s="55">
      <c r="E126" s="101">
        <f>IF(Pedidos!D65="","",Pedidos!D65)</f>
        <v/>
      </c>
    </row>
    <row r="127" ht="15" customHeight="1" s="55">
      <c r="E127" s="101">
        <f>IF(Pedidos!D66="","",Pedidos!D66)</f>
        <v/>
      </c>
    </row>
    <row r="128" ht="15" customHeight="1" s="55">
      <c r="E128" s="101">
        <f>IF(Pedidos!D67="","",Pedidos!D67)</f>
        <v/>
      </c>
    </row>
    <row r="129" ht="15" customHeight="1" s="55">
      <c r="E129" s="101">
        <f>IF(Pedidos!D68="","",Pedidos!D68)</f>
        <v/>
      </c>
    </row>
    <row r="130" ht="15" customHeight="1" s="55">
      <c r="E130" s="101">
        <f>IF(Pedidos!D69="","",Pedidos!D69)</f>
        <v/>
      </c>
    </row>
    <row r="131" ht="15" customHeight="1" s="55">
      <c r="E131" s="101">
        <f>IF(Pedidos!D70="","",Pedidos!D70)</f>
        <v/>
      </c>
    </row>
    <row r="132" ht="15" customHeight="1" s="55">
      <c r="E132" s="101">
        <f>IF(Pedidos!D71="","",Pedidos!D71)</f>
        <v/>
      </c>
    </row>
    <row r="133" ht="15" customHeight="1" s="55">
      <c r="E133" s="101">
        <f>IF(Pedidos!D72="","",Pedidos!D72)</f>
        <v/>
      </c>
    </row>
    <row r="134" ht="15" customHeight="1" s="55">
      <c r="E134" s="101">
        <f>IF(Pedidos!D73="","",Pedidos!D73)</f>
        <v/>
      </c>
    </row>
    <row r="135" ht="15" customHeight="1" s="55">
      <c r="E135" s="101">
        <f>IF(Pedidos!D74="","",Pedidos!D74)</f>
        <v/>
      </c>
    </row>
    <row r="136" ht="15" customHeight="1" s="55">
      <c r="E136" s="101">
        <f>IF(Pedidos!D75="","",Pedidos!D75)</f>
        <v/>
      </c>
    </row>
    <row r="137" ht="15" customHeight="1" s="55">
      <c r="E137" s="101">
        <f>IF(Pedidos!D76="","",Pedidos!D76)</f>
        <v/>
      </c>
    </row>
    <row r="138" ht="15" customHeight="1" s="55">
      <c r="E138" s="101">
        <f>IF(Pedidos!D77="","",Pedidos!D77)</f>
        <v/>
      </c>
    </row>
    <row r="139" ht="15" customHeight="1" s="55">
      <c r="E139" s="101">
        <f>IF(Pedidos!D78="","",Pedidos!D78)</f>
        <v/>
      </c>
    </row>
    <row r="140" ht="15" customHeight="1" s="55">
      <c r="E140" s="101">
        <f>IF(Pedidos!D79="","",Pedidos!D79)</f>
        <v/>
      </c>
    </row>
    <row r="141" ht="15" customHeight="1" s="55">
      <c r="E141" s="101">
        <f>IF(Pedidos!D80="","",Pedidos!D80)</f>
        <v/>
      </c>
    </row>
    <row r="142" ht="15" customHeight="1" s="55">
      <c r="E142" s="101">
        <f>IF(Pedidos!D81="","",Pedidos!D81)</f>
        <v/>
      </c>
    </row>
    <row r="143" ht="15" customHeight="1" s="55">
      <c r="E143" s="101">
        <f>IF(Pedidos!D82="","",Pedidos!D82)</f>
        <v/>
      </c>
    </row>
    <row r="144" ht="15" customHeight="1" s="55">
      <c r="E144" s="101">
        <f>IF(Pedidos!D83="","",Pedidos!D83)</f>
        <v/>
      </c>
    </row>
    <row r="145" ht="15" customHeight="1" s="55">
      <c r="E145" s="101">
        <f>IF(Pedidos!D84="","",Pedidos!D84)</f>
        <v/>
      </c>
    </row>
    <row r="146" ht="15" customHeight="1" s="55">
      <c r="E146" s="101">
        <f>IF(Pedidos!D85="","",Pedidos!D85)</f>
        <v/>
      </c>
    </row>
    <row r="147" ht="15" customHeight="1" s="55">
      <c r="E147" s="101">
        <f>IF(Pedidos!D86="","",Pedidos!D86)</f>
        <v/>
      </c>
    </row>
    <row r="148" ht="15" customHeight="1" s="55">
      <c r="E148" s="101">
        <f>IF(Pedidos!D87="","",Pedidos!D87)</f>
        <v/>
      </c>
    </row>
    <row r="149" ht="15" customHeight="1" s="55">
      <c r="E149" s="101">
        <f>IF(Pedidos!D88="","",Pedidos!D88)</f>
        <v/>
      </c>
    </row>
    <row r="150" ht="15" customHeight="1" s="55">
      <c r="E150" s="101">
        <f>IF(Pedidos!D89="","",Pedidos!D89)</f>
        <v/>
      </c>
    </row>
    <row r="151" ht="15" customHeight="1" s="55">
      <c r="E151" s="101">
        <f>IF(Pedidos!D90="","",Pedidos!D90)</f>
        <v/>
      </c>
    </row>
    <row r="152" ht="15" customHeight="1" s="55">
      <c r="E152" s="101">
        <f>IF(Pedidos!D91="","",Pedidos!D91)</f>
        <v/>
      </c>
    </row>
    <row r="153" ht="15" customHeight="1" s="55">
      <c r="E153" s="101">
        <f>IF(Pedidos!D92="","",Pedidos!D92)</f>
        <v/>
      </c>
    </row>
    <row r="154" ht="15" customHeight="1" s="55">
      <c r="E154" s="101">
        <f>IF(Pedidos!D93="","",Pedidos!D93)</f>
        <v/>
      </c>
    </row>
    <row r="155" ht="15" customHeight="1" s="55">
      <c r="E155" s="101">
        <f>IF(Pedidos!D94="","",Pedidos!D94)</f>
        <v/>
      </c>
    </row>
    <row r="156" ht="15" customHeight="1" s="55">
      <c r="E156" s="101">
        <f>IF(Pedidos!D95="","",Pedidos!D95)</f>
        <v/>
      </c>
    </row>
    <row r="157" ht="15" customHeight="1" s="55">
      <c r="E157" s="101">
        <f>IF(Pedidos!D96="","",Pedidos!D96)</f>
        <v/>
      </c>
    </row>
    <row r="158" ht="15" customHeight="1" s="55">
      <c r="E158" s="101">
        <f>IF(Pedidos!D97="","",Pedidos!D97)</f>
        <v/>
      </c>
    </row>
    <row r="159" ht="15" customHeight="1" s="55">
      <c r="E159" s="101">
        <f>IF(Pedidos!D98="","",Pedidos!D98)</f>
        <v/>
      </c>
    </row>
    <row r="160" ht="15" customHeight="1" s="55">
      <c r="E160" s="101">
        <f>IF(Pedidos!D99="","",Pedidos!D99)</f>
        <v/>
      </c>
    </row>
    <row r="161" ht="15" customHeight="1" s="55">
      <c r="E161" s="101">
        <f>IF(Pedidos!D100="","",Pedidos!D100)</f>
        <v/>
      </c>
    </row>
    <row r="162" ht="15" customHeight="1" s="55">
      <c r="E162" s="101">
        <f>IF(Pedidos!D101="","",Pedidos!D101)</f>
        <v/>
      </c>
    </row>
    <row r="163" ht="15" customHeight="1" s="55">
      <c r="E163" s="101">
        <f>IF(Pedidos!D102="","",Pedidos!D102)</f>
        <v/>
      </c>
    </row>
    <row r="164" ht="15" customHeight="1" s="55">
      <c r="E164" s="101">
        <f>IF(Pedidos!D103="","",Pedidos!D103)</f>
        <v/>
      </c>
    </row>
    <row r="165" ht="15" customHeight="1" s="55">
      <c r="E165" s="101">
        <f>IF(Pedidos!D104="","",Pedidos!D104)</f>
        <v/>
      </c>
    </row>
    <row r="166" ht="15" customHeight="1" s="55">
      <c r="E166" s="101">
        <f>IF(Pedidos!D105="","",Pedidos!D105)</f>
        <v/>
      </c>
    </row>
    <row r="167" ht="15" customHeight="1" s="55">
      <c r="E167" s="101">
        <f>IF(Pedidos!D106="","",Pedidos!D106)</f>
        <v/>
      </c>
    </row>
    <row r="168" ht="15" customHeight="1" s="55">
      <c r="E168" s="101">
        <f>IF(Pedidos!D107="","",Pedidos!D107)</f>
        <v/>
      </c>
    </row>
    <row r="169" ht="15" customHeight="1" s="55">
      <c r="E169" s="101">
        <f>IF(Pedidos!D108="","",Pedidos!D108)</f>
        <v/>
      </c>
    </row>
    <row r="170" ht="15" customHeight="1" s="55">
      <c r="E170" s="101">
        <f>IF(Pedidos!D109="","",Pedidos!D109)</f>
        <v/>
      </c>
    </row>
    <row r="171" ht="15" customHeight="1" s="55">
      <c r="E171" s="101">
        <f>IF(Pedidos!D110="","",Pedidos!D110)</f>
        <v/>
      </c>
    </row>
    <row r="172" ht="15" customHeight="1" s="55">
      <c r="E172" s="101">
        <f>IF(Pedidos!D111="","",Pedidos!D111)</f>
        <v/>
      </c>
    </row>
    <row r="173" ht="15" customHeight="1" s="55">
      <c r="E173" s="101">
        <f>IF(Pedidos!D112="","",Pedidos!D112)</f>
        <v/>
      </c>
    </row>
    <row r="174" ht="15" customHeight="1" s="55">
      <c r="E174" s="101">
        <f>IF(Pedidos!D113="","",Pedidos!D113)</f>
        <v/>
      </c>
    </row>
    <row r="175" ht="15" customHeight="1" s="55">
      <c r="E175" s="101">
        <f>IF(Pedidos!D114="","",Pedidos!D114)</f>
        <v/>
      </c>
    </row>
    <row r="176" ht="15" customHeight="1" s="55">
      <c r="E176" s="101">
        <f>IF(Pedidos!D115="","",Pedidos!D115)</f>
        <v/>
      </c>
    </row>
    <row r="177" ht="15" customHeight="1" s="55">
      <c r="E177" s="101">
        <f>IF(Pedidos!D116="","",Pedidos!D116)</f>
        <v/>
      </c>
    </row>
    <row r="178" ht="15" customHeight="1" s="55">
      <c r="E178" s="101">
        <f>IF(Pedidos!D117="","",Pedidos!D117)</f>
        <v/>
      </c>
    </row>
    <row r="179" ht="15" customHeight="1" s="55">
      <c r="E179" s="101">
        <f>IF(Pedidos!D118="","",Pedidos!D118)</f>
        <v/>
      </c>
    </row>
    <row r="180" ht="15" customHeight="1" s="55">
      <c r="E180" s="101">
        <f>IF(Pedidos!D119="","",Pedidos!D119)</f>
        <v/>
      </c>
    </row>
    <row r="181" ht="15" customHeight="1" s="55">
      <c r="E181" s="101">
        <f>IF(Pedidos!D120="","",Pedidos!D120)</f>
        <v/>
      </c>
    </row>
    <row r="182" ht="15" customHeight="1" s="55">
      <c r="E182" s="101">
        <f>IF(Pedidos!D121="","",Pedidos!D121)</f>
        <v/>
      </c>
    </row>
    <row r="183" ht="15" customHeight="1" s="55">
      <c r="E183" s="101">
        <f>IF(Pedidos!D122="","",Pedidos!D122)</f>
        <v/>
      </c>
    </row>
    <row r="184" ht="15" customHeight="1" s="55">
      <c r="E184" s="101">
        <f>IF(Pedidos!D123="","",Pedidos!D123)</f>
        <v/>
      </c>
    </row>
    <row r="185" ht="15" customHeight="1" s="55">
      <c r="E185" s="101">
        <f>IF(Pedidos!D124="","",Pedidos!D124)</f>
        <v/>
      </c>
    </row>
    <row r="186" ht="15" customHeight="1" s="55">
      <c r="E186" s="101">
        <f>IF(Pedidos!D125="","",Pedidos!D125)</f>
        <v/>
      </c>
    </row>
    <row r="187" ht="15" customHeight="1" s="55">
      <c r="E187" s="101">
        <f>IF(Pedidos!D126="","",Pedidos!D126)</f>
        <v/>
      </c>
    </row>
    <row r="188" ht="15" customHeight="1" s="55">
      <c r="E188" s="101">
        <f>IF(Pedidos!D127="","",Pedidos!D127)</f>
        <v/>
      </c>
    </row>
    <row r="189" ht="15" customHeight="1" s="55">
      <c r="E189" s="101">
        <f>IF(Pedidos!D128="","",Pedidos!D128)</f>
        <v/>
      </c>
    </row>
    <row r="190" ht="15" customHeight="1" s="55">
      <c r="E190" s="101">
        <f>IF(Pedidos!D129="","",Pedidos!D129)</f>
        <v/>
      </c>
    </row>
    <row r="191" ht="15" customHeight="1" s="55">
      <c r="E191" s="101">
        <f>IF(Pedidos!D130="","",Pedidos!D130)</f>
        <v/>
      </c>
    </row>
    <row r="192" ht="15" customHeight="1" s="55">
      <c r="E192" s="101">
        <f>IF(Pedidos!D131="","",Pedidos!D131)</f>
        <v/>
      </c>
    </row>
    <row r="193" ht="15" customHeight="1" s="55">
      <c r="E193" s="101">
        <f>IF(Pedidos!D132="","",Pedidos!D132)</f>
        <v/>
      </c>
    </row>
    <row r="194" ht="15" customHeight="1" s="55">
      <c r="E194" s="101">
        <f>IF(Pedidos!D133="","",Pedidos!D133)</f>
        <v/>
      </c>
    </row>
    <row r="195" ht="15" customHeight="1" s="55">
      <c r="E195" s="101">
        <f>IF(Pedidos!D134="","",Pedidos!D134)</f>
        <v/>
      </c>
    </row>
    <row r="196" ht="15" customHeight="1" s="55">
      <c r="E196" s="101">
        <f>IF(Pedidos!D135="","",Pedidos!D135)</f>
        <v/>
      </c>
    </row>
    <row r="197" ht="15" customHeight="1" s="55">
      <c r="E197" s="101">
        <f>IF(Pedidos!D136="","",Pedidos!D136)</f>
        <v/>
      </c>
    </row>
    <row r="198" ht="15" customHeight="1" s="55">
      <c r="E198" s="101">
        <f>IF(Pedidos!D137="","",Pedidos!D137)</f>
        <v/>
      </c>
    </row>
    <row r="199" ht="15" customHeight="1" s="55">
      <c r="E199" s="101">
        <f>IF(Pedidos!D138="","",Pedidos!D138)</f>
        <v/>
      </c>
    </row>
    <row r="200" ht="15" customHeight="1" s="55">
      <c r="E200" s="101">
        <f>IF(Pedidos!D139="","",Pedidos!D139)</f>
        <v/>
      </c>
    </row>
    <row r="201" ht="15" customHeight="1" s="55">
      <c r="E201" s="101">
        <f>IF(Pedidos!D140="","",Pedidos!D140)</f>
        <v/>
      </c>
    </row>
    <row r="202" ht="15" customHeight="1" s="55">
      <c r="E202" s="101">
        <f>IF(Pedidos!D141="","",Pedidos!D141)</f>
        <v/>
      </c>
    </row>
    <row r="203" ht="15" customHeight="1" s="55">
      <c r="E203" s="101">
        <f>IF(Pedidos!D142="","",Pedidos!D142)</f>
        <v/>
      </c>
    </row>
    <row r="204" ht="15" customHeight="1" s="55">
      <c r="E204" s="101">
        <f>IF(Pedidos!D143="","",Pedidos!D143)</f>
        <v/>
      </c>
    </row>
    <row r="205" ht="15" customHeight="1" s="55">
      <c r="E205" s="101">
        <f>IF(Pedidos!D144="","",Pedidos!D144)</f>
        <v/>
      </c>
    </row>
    <row r="206" ht="15" customHeight="1" s="55">
      <c r="E206" s="101">
        <f>IF(Pedidos!D145="","",Pedidos!D145)</f>
        <v/>
      </c>
    </row>
    <row r="207" ht="15" customHeight="1" s="55">
      <c r="E207" s="101">
        <f>IF(Pedidos!D146="","",Pedidos!D146)</f>
        <v/>
      </c>
    </row>
    <row r="208" ht="15" customHeight="1" s="55">
      <c r="E208" s="101">
        <f>IF(Pedidos!D147="","",Pedidos!D147)</f>
        <v/>
      </c>
    </row>
    <row r="209" ht="15" customHeight="1" s="55">
      <c r="E209" s="101">
        <f>IF(Pedidos!D148="","",Pedidos!D148)</f>
        <v/>
      </c>
    </row>
    <row r="210" ht="15" customHeight="1" s="55">
      <c r="E210" s="101">
        <f>IF(Pedidos!D149="","",Pedidos!D149)</f>
        <v/>
      </c>
    </row>
    <row r="211" ht="15" customHeight="1" s="55">
      <c r="E211" s="101">
        <f>IF(Pedidos!D150="","",Pedidos!D150)</f>
        <v/>
      </c>
    </row>
    <row r="212" ht="15" customHeight="1" s="55">
      <c r="E212" s="101">
        <f>IF(Pedidos!D151="","",Pedidos!D151)</f>
        <v/>
      </c>
    </row>
    <row r="213" ht="15" customHeight="1" s="55">
      <c r="E213" s="101">
        <f>IF(Pedidos!D152="","",Pedidos!D152)</f>
        <v/>
      </c>
    </row>
    <row r="214" ht="15" customHeight="1" s="55">
      <c r="E214" s="101">
        <f>IF(Pedidos!D153="","",Pedidos!D153)</f>
        <v/>
      </c>
    </row>
    <row r="215" ht="15" customHeight="1" s="55">
      <c r="E215" s="101">
        <f>IF(Pedidos!D154="","",Pedidos!D154)</f>
        <v/>
      </c>
    </row>
    <row r="216" ht="15" customHeight="1" s="55">
      <c r="E216" s="101">
        <f>IF(Pedidos!D155="","",Pedidos!D155)</f>
        <v/>
      </c>
    </row>
    <row r="217" ht="15" customHeight="1" s="55">
      <c r="E217" s="101">
        <f>IF(Pedidos!D156="","",Pedidos!D156)</f>
        <v/>
      </c>
    </row>
    <row r="218" ht="15" customHeight="1" s="55">
      <c r="E218" s="101">
        <f>IF(Pedidos!D157="","",Pedidos!D157)</f>
        <v/>
      </c>
    </row>
    <row r="219" ht="15" customHeight="1" s="55">
      <c r="E219" s="101">
        <f>IF(Pedidos!D158="","",Pedidos!D158)</f>
        <v/>
      </c>
    </row>
    <row r="220" ht="15" customHeight="1" s="55">
      <c r="E220" s="101">
        <f>IF(Pedidos!D159="","",Pedidos!D159)</f>
        <v/>
      </c>
    </row>
    <row r="221" ht="15" customHeight="1" s="55">
      <c r="E221" s="101">
        <f>IF(Pedidos!D160="","",Pedidos!D160)</f>
        <v/>
      </c>
    </row>
    <row r="222" ht="15" customHeight="1" s="55">
      <c r="E222" s="101">
        <f>IF(Pedidos!D161="","",Pedidos!D161)</f>
        <v/>
      </c>
    </row>
    <row r="223" ht="15" customHeight="1" s="55">
      <c r="E223" s="101">
        <f>IF(Pedidos!D162="","",Pedidos!D162)</f>
        <v/>
      </c>
    </row>
    <row r="224" ht="15" customHeight="1" s="55">
      <c r="E224" s="101">
        <f>IF(Pedidos!D163="","",Pedidos!D163)</f>
        <v/>
      </c>
    </row>
    <row r="225" ht="15" customHeight="1" s="55">
      <c r="E225" s="101">
        <f>IF(Pedidos!D164="","",Pedidos!D164)</f>
        <v/>
      </c>
    </row>
    <row r="226" ht="15" customHeight="1" s="55">
      <c r="E226" s="101">
        <f>IF(Pedidos!D165="","",Pedidos!D165)</f>
        <v/>
      </c>
    </row>
    <row r="227" ht="15" customHeight="1" s="55">
      <c r="E227" s="101">
        <f>IF(Pedidos!D166="","",Pedidos!D166)</f>
        <v/>
      </c>
    </row>
    <row r="228" ht="15" customHeight="1" s="55">
      <c r="E228" s="101">
        <f>IF(Pedidos!D167="","",Pedidos!D167)</f>
        <v/>
      </c>
    </row>
    <row r="229" ht="15" customHeight="1" s="55">
      <c r="E229" s="101">
        <f>IF(Pedidos!D168="","",Pedidos!D168)</f>
        <v/>
      </c>
    </row>
    <row r="230" ht="15" customHeight="1" s="55">
      <c r="E230" s="101">
        <f>IF(Pedidos!D169="","",Pedidos!D169)</f>
        <v/>
      </c>
    </row>
    <row r="231" ht="15" customHeight="1" s="55">
      <c r="E231" s="101">
        <f>IF(Pedidos!D170="","",Pedidos!D170)</f>
        <v/>
      </c>
    </row>
    <row r="232" ht="15" customHeight="1" s="55">
      <c r="E232" s="101">
        <f>IF(Pedidos!D171="","",Pedidos!D171)</f>
        <v/>
      </c>
    </row>
    <row r="233" ht="15" customHeight="1" s="55">
      <c r="E233" s="101">
        <f>IF(Pedidos!D172="","",Pedidos!D172)</f>
        <v/>
      </c>
    </row>
    <row r="234" ht="15" customHeight="1" s="55">
      <c r="E234" s="101">
        <f>IF(Pedidos!D173="","",Pedidos!D173)</f>
        <v/>
      </c>
    </row>
    <row r="235" ht="15" customHeight="1" s="55">
      <c r="E235" s="101">
        <f>IF(Pedidos!D174="","",Pedidos!D174)</f>
        <v/>
      </c>
    </row>
    <row r="236" ht="15" customHeight="1" s="55">
      <c r="E236" s="101">
        <f>IF(Pedidos!D175="","",Pedidos!D175)</f>
        <v/>
      </c>
    </row>
    <row r="237" ht="15" customHeight="1" s="55">
      <c r="E237" s="101">
        <f>IF(Pedidos!D176="","",Pedidos!D176)</f>
        <v/>
      </c>
    </row>
    <row r="238" ht="15" customHeight="1" s="55">
      <c r="E238" s="101">
        <f>IF(Pedidos!D177="","",Pedidos!D177)</f>
        <v/>
      </c>
    </row>
    <row r="239" ht="15" customHeight="1" s="55">
      <c r="E239" s="101">
        <f>IF(Pedidos!D178="","",Pedidos!D178)</f>
        <v/>
      </c>
    </row>
    <row r="240" ht="15" customHeight="1" s="55">
      <c r="E240" s="101">
        <f>IF(Pedidos!D179="","",Pedidos!D179)</f>
        <v/>
      </c>
    </row>
    <row r="241" ht="15" customHeight="1" s="55">
      <c r="E241" s="101">
        <f>IF(Pedidos!D180="","",Pedidos!D180)</f>
        <v/>
      </c>
    </row>
    <row r="242" ht="15" customHeight="1" s="55">
      <c r="E242" s="101">
        <f>IF(Pedidos!D181="","",Pedidos!D181)</f>
        <v/>
      </c>
    </row>
    <row r="243" ht="15" customHeight="1" s="55">
      <c r="E243" s="101">
        <f>IF(Pedidos!D182="","",Pedidos!D182)</f>
        <v/>
      </c>
    </row>
    <row r="244" ht="15" customHeight="1" s="55">
      <c r="E244" s="101">
        <f>IF(Pedidos!D183="","",Pedidos!D183)</f>
        <v/>
      </c>
    </row>
    <row r="245" ht="15" customHeight="1" s="55">
      <c r="E245" s="101">
        <f>IF(Pedidos!D184="","",Pedidos!D184)</f>
        <v/>
      </c>
    </row>
    <row r="246" ht="15" customHeight="1" s="55">
      <c r="E246" s="101">
        <f>IF(Pedidos!D185="","",Pedidos!D185)</f>
        <v/>
      </c>
    </row>
    <row r="247" ht="15" customHeight="1" s="55">
      <c r="E247" s="101">
        <f>IF(Pedidos!D186="","",Pedidos!D186)</f>
        <v/>
      </c>
    </row>
    <row r="248" ht="15" customHeight="1" s="55">
      <c r="E248" s="101">
        <f>IF(Pedidos!D187="","",Pedidos!D187)</f>
        <v/>
      </c>
    </row>
    <row r="249" ht="15" customHeight="1" s="55">
      <c r="E249" s="101">
        <f>IF(Pedidos!D188="","",Pedidos!D188)</f>
        <v/>
      </c>
    </row>
    <row r="250" ht="15" customHeight="1" s="55">
      <c r="E250" s="101">
        <f>IF(Pedidos!D189="","",Pedidos!D189)</f>
        <v/>
      </c>
    </row>
    <row r="251" ht="15" customHeight="1" s="55">
      <c r="E251" s="101">
        <f>IF(Pedidos!D190="","",Pedidos!D190)</f>
        <v/>
      </c>
    </row>
    <row r="252" ht="15" customHeight="1" s="55">
      <c r="E252" s="101">
        <f>IF(Pedidos!D191="","",Pedidos!D191)</f>
        <v/>
      </c>
    </row>
    <row r="253" ht="15" customHeight="1" s="55">
      <c r="E253" s="101">
        <f>IF(Pedidos!D192="","",Pedidos!D192)</f>
        <v/>
      </c>
    </row>
    <row r="254" ht="15" customHeight="1" s="55">
      <c r="E254" s="101">
        <f>IF(Pedidos!D193="","",Pedidos!D193)</f>
        <v/>
      </c>
    </row>
    <row r="255" ht="15" customHeight="1" s="55">
      <c r="E255" s="101">
        <f>IF(Pedidos!D194="","",Pedidos!D194)</f>
        <v/>
      </c>
    </row>
    <row r="256" ht="15" customHeight="1" s="55">
      <c r="E256" s="101">
        <f>IF(Pedidos!D195="","",Pedidos!D195)</f>
        <v/>
      </c>
    </row>
    <row r="257" ht="15" customHeight="1" s="55">
      <c r="E257" s="101">
        <f>IF(Pedidos!D196="","",Pedidos!D196)</f>
        <v/>
      </c>
    </row>
    <row r="258" ht="15" customHeight="1" s="55">
      <c r="E258" s="101">
        <f>IF(Pedidos!D197="","",Pedidos!D197)</f>
        <v/>
      </c>
    </row>
    <row r="259" ht="15" customHeight="1" s="55">
      <c r="E259" s="101">
        <f>IF(Pedidos!D198="","",Pedidos!D198)</f>
        <v/>
      </c>
    </row>
    <row r="260" ht="15" customHeight="1" s="55">
      <c r="E260" s="101">
        <f>IF(Pedidos!D199="","",Pedidos!D199)</f>
        <v/>
      </c>
    </row>
    <row r="261" ht="15" customHeight="1" s="55">
      <c r="E261" s="101">
        <f>IF(Pedidos!D200="","",Pedidos!D200)</f>
        <v/>
      </c>
    </row>
    <row r="262" ht="15" customHeight="1" s="55">
      <c r="E262" s="101">
        <f>IF(Pedidos!D201="","",Pedidos!D201)</f>
        <v/>
      </c>
    </row>
    <row r="263" ht="15" customHeight="1" s="55">
      <c r="E263" s="101">
        <f>IF(Pedidos!D202="","",Pedidos!D202)</f>
        <v/>
      </c>
    </row>
    <row r="264" ht="15" customHeight="1" s="55">
      <c r="E264" s="101">
        <f>IF(Pedidos!D203="","",Pedidos!D203)</f>
        <v/>
      </c>
    </row>
    <row r="265" ht="15" customHeight="1" s="55">
      <c r="E265" s="101">
        <f>IF(Pedidos!D204="","",Pedidos!D204)</f>
        <v/>
      </c>
    </row>
  </sheetData>
  <mergeCells count="3">
    <mergeCell ref="A1:D1"/>
    <mergeCell ref="A13:D13"/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2026-07-03T13:48:16Z</dcterms:created>
  <dcterms:modified xmlns:dcterms="http://purl.org/dc/terms/" xmlns:xsi="http://www.w3.org/2001/XMLSchema-instance" xsi:type="dcterms:W3CDTF">2026-07-04T14:52:51Z</dcterms:modified>
  <cp:revision>0</cp:revision>
</cp:coreProperties>
</file>